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ju Iranda Putra\Documents\Satu Amal Indonesia\SAI 2026\02 Februari\"/>
    </mc:Choice>
  </mc:AlternateContent>
  <xr:revisionPtr revIDLastSave="0" documentId="13_ncr:1_{6A13EBB9-9BE3-4711-8FE2-602B80C92EAD}" xr6:coauthVersionLast="47" xr6:coauthVersionMax="47" xr10:uidLastSave="{00000000-0000-0000-0000-000000000000}"/>
  <bookViews>
    <workbookView xWindow="-110" yWindow="-110" windowWidth="19420" windowHeight="10300" xr2:uid="{15A8FF7F-A1B7-40DF-B6C7-A9BBB5DCDE1B}"/>
  </bookViews>
  <sheets>
    <sheet name="Quick Recap" sheetId="1" r:id="rId1"/>
    <sheet name="Main Recap" sheetId="2" r:id="rId2"/>
    <sheet name="Rekap Bencana" sheetId="5" r:id="rId3"/>
    <sheet name="Sebaran Dampak" sheetId="4" r:id="rId4"/>
    <sheet name="Kategori Program" sheetId="3" r:id="rId5"/>
  </sheets>
  <definedNames>
    <definedName name="_xlnm._FilterDatabase" localSheetId="3" hidden="1">'Sebaran Dampak'!$P$4:$S$70</definedName>
    <definedName name="t_kab">Table2[Kabupaten/Kota]</definedName>
    <definedName name="t_kategori">Table6[KATEGORI PROGRAM]</definedName>
    <definedName name="t_kategoriP">Table5[KATEGORI PROGRAM]</definedName>
    <definedName name="t_kec">Table2[Kecamatan]</definedName>
    <definedName name="t_kel">Table2[Kelurahan]</definedName>
    <definedName name="T_KetProgram">Table5[]</definedName>
    <definedName name="t_nm">Table5[NAMA PROGRAM]</definedName>
    <definedName name="t_prov">Table2[Provinsi]</definedName>
    <definedName name="T_SPM">Table13[]</definedName>
    <definedName name="T_SPMFIX">Table13[Sasaran PM]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N5" i="4" l="1" a="1"/>
  <c r="N5" i="4" s="1"/>
  <c r="M5" i="4" a="1"/>
  <c r="M5" i="4" s="1"/>
  <c r="V5" i="4" a="1"/>
  <c r="V5" i="4" s="1"/>
  <c r="B6" i="4" l="1"/>
  <c r="B33" i="4"/>
  <c r="B57" i="4"/>
  <c r="B58" i="4"/>
  <c r="B12" i="4"/>
  <c r="D6" i="4"/>
  <c r="E6" i="4" s="1"/>
  <c r="F6" i="4" s="1"/>
  <c r="D33" i="4"/>
  <c r="E33" i="4" s="1"/>
  <c r="F33" i="4" s="1"/>
  <c r="D57" i="4"/>
  <c r="E57" i="4" s="1"/>
  <c r="F57" i="4" s="1"/>
  <c r="D58" i="4"/>
  <c r="E58" i="4" s="1"/>
  <c r="F58" i="4" s="1"/>
  <c r="D12" i="4"/>
  <c r="E12" i="4" s="1"/>
  <c r="F12" i="4" s="1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D12" i="2"/>
  <c r="E12" i="2"/>
  <c r="C12" i="2"/>
  <c r="D22" i="2"/>
  <c r="E22" i="2"/>
  <c r="D23" i="2"/>
  <c r="E23" i="2"/>
  <c r="C23" i="2"/>
  <c r="C22" i="2"/>
  <c r="I33" i="2"/>
  <c r="J33" i="2"/>
  <c r="D18" i="2"/>
  <c r="E18" i="2"/>
  <c r="C18" i="2"/>
  <c r="D19" i="2"/>
  <c r="E19" i="2"/>
  <c r="C19" i="2"/>
  <c r="D14" i="2"/>
  <c r="E14" i="2"/>
  <c r="C14" i="2"/>
  <c r="H33" i="2" l="1"/>
  <c r="H174" i="3" l="1"/>
  <c r="B78" i="3"/>
  <c r="H173" i="3"/>
  <c r="B77" i="3"/>
  <c r="H172" i="3" l="1"/>
  <c r="H171" i="3" l="1"/>
  <c r="B76" i="3"/>
  <c r="B75" i="3" l="1"/>
  <c r="B74" i="3"/>
  <c r="H170" i="3"/>
  <c r="B83" i="1" l="1"/>
  <c r="B86" i="1"/>
  <c r="B85" i="1"/>
  <c r="B87" i="1"/>
  <c r="B90" i="1"/>
  <c r="B89" i="1"/>
  <c r="B88" i="1"/>
  <c r="B93" i="1"/>
  <c r="B92" i="1"/>
  <c r="B91" i="1"/>
  <c r="B96" i="1"/>
  <c r="B97" i="1"/>
  <c r="B94" i="1"/>
  <c r="B95" i="1"/>
  <c r="B99" i="1"/>
  <c r="B98" i="1"/>
  <c r="B100" i="1"/>
  <c r="B101" i="1"/>
  <c r="B102" i="1"/>
  <c r="B103" i="1"/>
  <c r="B106" i="1"/>
  <c r="B105" i="1"/>
  <c r="B63" i="1"/>
  <c r="B64" i="1"/>
  <c r="B65" i="1"/>
  <c r="B66" i="1"/>
  <c r="B67" i="1"/>
  <c r="B68" i="1"/>
  <c r="B69" i="1"/>
  <c r="B70" i="1"/>
  <c r="B71" i="1"/>
  <c r="B72" i="1"/>
  <c r="B73" i="1"/>
  <c r="B107" i="1"/>
  <c r="B108" i="1"/>
  <c r="B104" i="1"/>
  <c r="B10" i="1"/>
  <c r="B17" i="1"/>
  <c r="B23" i="1"/>
  <c r="B42" i="1"/>
  <c r="B46" i="1"/>
  <c r="B45" i="1"/>
  <c r="B52" i="1"/>
  <c r="B51" i="1"/>
  <c r="B49" i="1"/>
  <c r="B57" i="1"/>
  <c r="B82" i="1"/>
  <c r="B109" i="1"/>
  <c r="B110" i="1"/>
  <c r="B111" i="1"/>
  <c r="B112" i="1"/>
  <c r="B116" i="1"/>
  <c r="B114" i="1"/>
  <c r="B115" i="1"/>
  <c r="B113" i="1"/>
  <c r="B120" i="1"/>
  <c r="B117" i="1"/>
  <c r="B121" i="1"/>
  <c r="B123" i="1"/>
  <c r="B122" i="1"/>
  <c r="B124" i="1"/>
  <c r="B118" i="1"/>
  <c r="B119" i="1"/>
  <c r="B133" i="1"/>
  <c r="B132" i="1"/>
  <c r="B127" i="1"/>
  <c r="B125" i="1"/>
  <c r="B128" i="1"/>
  <c r="B126" i="1"/>
  <c r="B131" i="1"/>
  <c r="B129" i="1"/>
  <c r="B130" i="1"/>
  <c r="B135" i="1"/>
  <c r="B134" i="1"/>
  <c r="B136" i="1"/>
  <c r="B137" i="1"/>
  <c r="E83" i="1"/>
  <c r="I83" i="1"/>
  <c r="J83" i="1" s="1"/>
  <c r="K83" i="1" s="1"/>
  <c r="B44" i="1"/>
  <c r="B47" i="1"/>
  <c r="B48" i="1"/>
  <c r="B53" i="1"/>
  <c r="B54" i="1"/>
  <c r="B50" i="1"/>
  <c r="B55" i="1"/>
  <c r="B58" i="1"/>
  <c r="B61" i="1"/>
  <c r="B59" i="1"/>
  <c r="B60" i="1"/>
  <c r="B62" i="1"/>
  <c r="B56" i="1"/>
  <c r="B79" i="1"/>
  <c r="B78" i="1"/>
  <c r="B74" i="1"/>
  <c r="B77" i="1"/>
  <c r="B80" i="1"/>
  <c r="B76" i="1"/>
  <c r="B75" i="1"/>
  <c r="B81" i="1"/>
  <c r="B84" i="1"/>
  <c r="E54" i="1"/>
  <c r="I54" i="1"/>
  <c r="J54" i="1" s="1"/>
  <c r="K54" i="1" s="1"/>
  <c r="B73" i="3" l="1"/>
  <c r="B72" i="3"/>
  <c r="H19" i="2"/>
  <c r="H8" i="2"/>
  <c r="H9" i="2"/>
  <c r="H10" i="2"/>
  <c r="H7" i="2"/>
  <c r="I8" i="2"/>
  <c r="I9" i="2"/>
  <c r="I10" i="2"/>
  <c r="I7" i="2"/>
  <c r="I24" i="2"/>
  <c r="B6" i="1" l="1"/>
  <c r="E6" i="1"/>
  <c r="I6" i="1"/>
  <c r="J6" i="1" s="1"/>
  <c r="K6" i="1" s="1"/>
  <c r="B5" i="1"/>
  <c r="I5" i="1"/>
  <c r="J5" i="1" s="1"/>
  <c r="K5" i="1" s="1"/>
  <c r="B11" i="1"/>
  <c r="E11" i="1"/>
  <c r="I11" i="1"/>
  <c r="J11" i="1" s="1"/>
  <c r="K11" i="1" s="1"/>
  <c r="B13" i="1"/>
  <c r="E13" i="1"/>
  <c r="I13" i="1"/>
  <c r="J13" i="1" s="1"/>
  <c r="K13" i="1" s="1"/>
  <c r="B14" i="1"/>
  <c r="E14" i="1"/>
  <c r="I14" i="1"/>
  <c r="J14" i="1" s="1"/>
  <c r="K14" i="1" s="1"/>
  <c r="B15" i="1"/>
  <c r="E15" i="1"/>
  <c r="I15" i="1"/>
  <c r="J15" i="1" s="1"/>
  <c r="K15" i="1" s="1"/>
  <c r="B16" i="1"/>
  <c r="E16" i="1"/>
  <c r="I16" i="1"/>
  <c r="J16" i="1" s="1"/>
  <c r="K16" i="1" s="1"/>
  <c r="B8" i="1"/>
  <c r="E8" i="1"/>
  <c r="I8" i="1"/>
  <c r="J8" i="1" s="1"/>
  <c r="K8" i="1" s="1"/>
  <c r="B9" i="1"/>
  <c r="E9" i="1"/>
  <c r="I9" i="1"/>
  <c r="J9" i="1" s="1"/>
  <c r="K9" i="1" s="1"/>
  <c r="B12" i="1"/>
  <c r="E12" i="1"/>
  <c r="I12" i="1"/>
  <c r="J12" i="1" s="1"/>
  <c r="K12" i="1" s="1"/>
  <c r="B18" i="1"/>
  <c r="E18" i="1"/>
  <c r="I18" i="1"/>
  <c r="J18" i="1" s="1"/>
  <c r="K18" i="1" s="1"/>
  <c r="B19" i="1"/>
  <c r="E19" i="1"/>
  <c r="I19" i="1"/>
  <c r="J19" i="1" s="1"/>
  <c r="K19" i="1" s="1"/>
  <c r="B20" i="1"/>
  <c r="E20" i="1"/>
  <c r="I20" i="1"/>
  <c r="J20" i="1" s="1"/>
  <c r="K20" i="1" s="1"/>
  <c r="B21" i="1"/>
  <c r="E21" i="1"/>
  <c r="I21" i="1"/>
  <c r="J21" i="1" s="1"/>
  <c r="K21" i="1" s="1"/>
  <c r="B22" i="1"/>
  <c r="E22" i="1"/>
  <c r="I22" i="1"/>
  <c r="J22" i="1" s="1"/>
  <c r="K22" i="1" s="1"/>
  <c r="B28" i="1"/>
  <c r="E28" i="1"/>
  <c r="I28" i="1"/>
  <c r="J28" i="1" s="1"/>
  <c r="K28" i="1" s="1"/>
  <c r="B29" i="1"/>
  <c r="E29" i="1"/>
  <c r="I29" i="1"/>
  <c r="J29" i="1" s="1"/>
  <c r="K29" i="1" s="1"/>
  <c r="B33" i="1"/>
  <c r="E33" i="1"/>
  <c r="I33" i="1"/>
  <c r="J33" i="1" s="1"/>
  <c r="K33" i="1" s="1"/>
  <c r="B31" i="1"/>
  <c r="E31" i="1"/>
  <c r="I31" i="1"/>
  <c r="J31" i="1" s="1"/>
  <c r="K31" i="1" s="1"/>
  <c r="B32" i="1"/>
  <c r="E32" i="1"/>
  <c r="I32" i="1"/>
  <c r="J32" i="1" s="1"/>
  <c r="K32" i="1" s="1"/>
  <c r="B30" i="1"/>
  <c r="E30" i="1"/>
  <c r="I30" i="1"/>
  <c r="J30" i="1" s="1"/>
  <c r="K30" i="1" s="1"/>
  <c r="B26" i="1"/>
  <c r="E26" i="1"/>
  <c r="I26" i="1"/>
  <c r="J26" i="1" s="1"/>
  <c r="K26" i="1" s="1"/>
  <c r="B27" i="1"/>
  <c r="E27" i="1"/>
  <c r="I27" i="1"/>
  <c r="J27" i="1" s="1"/>
  <c r="K27" i="1" s="1"/>
  <c r="B24" i="1"/>
  <c r="E24" i="1"/>
  <c r="I24" i="1"/>
  <c r="J24" i="1" s="1"/>
  <c r="K24" i="1" s="1"/>
  <c r="B25" i="1"/>
  <c r="E25" i="1"/>
  <c r="I25" i="1"/>
  <c r="J25" i="1" s="1"/>
  <c r="K25" i="1" s="1"/>
  <c r="B35" i="1"/>
  <c r="E35" i="1"/>
  <c r="I35" i="1"/>
  <c r="J35" i="1" s="1"/>
  <c r="K35" i="1" s="1"/>
  <c r="B39" i="1"/>
  <c r="E39" i="1"/>
  <c r="I39" i="1"/>
  <c r="J39" i="1" s="1"/>
  <c r="K39" i="1" s="1"/>
  <c r="B36" i="1"/>
  <c r="E36" i="1"/>
  <c r="I36" i="1"/>
  <c r="J36" i="1" s="1"/>
  <c r="K36" i="1" s="1"/>
  <c r="B34" i="1"/>
  <c r="E34" i="1"/>
  <c r="I34" i="1"/>
  <c r="J34" i="1" s="1"/>
  <c r="K34" i="1" s="1"/>
  <c r="B38" i="1"/>
  <c r="E38" i="1"/>
  <c r="I38" i="1"/>
  <c r="J38" i="1" s="1"/>
  <c r="K38" i="1" s="1"/>
  <c r="B37" i="1"/>
  <c r="E37" i="1"/>
  <c r="I37" i="1"/>
  <c r="J37" i="1" s="1"/>
  <c r="K37" i="1" s="1"/>
  <c r="B41" i="1"/>
  <c r="E41" i="1"/>
  <c r="I41" i="1"/>
  <c r="J41" i="1" s="1"/>
  <c r="K41" i="1" s="1"/>
  <c r="B40" i="1"/>
  <c r="E40" i="1"/>
  <c r="I40" i="1"/>
  <c r="J40" i="1" s="1"/>
  <c r="K40" i="1" s="1"/>
  <c r="B43" i="1"/>
  <c r="E43" i="1"/>
  <c r="I43" i="1"/>
  <c r="J43" i="1" s="1"/>
  <c r="K43" i="1" s="1"/>
  <c r="E44" i="1"/>
  <c r="I44" i="1"/>
  <c r="J44" i="1" s="1"/>
  <c r="K44" i="1" s="1"/>
  <c r="E47" i="1"/>
  <c r="I47" i="1"/>
  <c r="J47" i="1" s="1"/>
  <c r="K47" i="1" s="1"/>
  <c r="E48" i="1"/>
  <c r="I48" i="1"/>
  <c r="J48" i="1" s="1"/>
  <c r="K48" i="1" s="1"/>
  <c r="E53" i="1"/>
  <c r="I53" i="1"/>
  <c r="J53" i="1" s="1"/>
  <c r="K53" i="1" s="1"/>
  <c r="E50" i="1"/>
  <c r="I50" i="1"/>
  <c r="J50" i="1" s="1"/>
  <c r="K50" i="1" s="1"/>
  <c r="E55" i="1"/>
  <c r="I55" i="1"/>
  <c r="J55" i="1" s="1"/>
  <c r="K55" i="1" s="1"/>
  <c r="E58" i="1"/>
  <c r="I58" i="1"/>
  <c r="J58" i="1" s="1"/>
  <c r="K58" i="1" s="1"/>
  <c r="E61" i="1"/>
  <c r="I61" i="1"/>
  <c r="J61" i="1" s="1"/>
  <c r="K61" i="1" s="1"/>
  <c r="E59" i="1"/>
  <c r="I59" i="1"/>
  <c r="J59" i="1" s="1"/>
  <c r="K59" i="1" s="1"/>
  <c r="E60" i="1"/>
  <c r="I60" i="1"/>
  <c r="J60" i="1" s="1"/>
  <c r="K60" i="1" s="1"/>
  <c r="E62" i="1"/>
  <c r="I62" i="1"/>
  <c r="J62" i="1" s="1"/>
  <c r="K62" i="1" s="1"/>
  <c r="E56" i="1"/>
  <c r="I56" i="1"/>
  <c r="J56" i="1" s="1"/>
  <c r="K56" i="1" s="1"/>
  <c r="E79" i="1"/>
  <c r="I79" i="1"/>
  <c r="J79" i="1" s="1"/>
  <c r="K79" i="1" s="1"/>
  <c r="E78" i="1"/>
  <c r="I78" i="1"/>
  <c r="J78" i="1" s="1"/>
  <c r="K78" i="1" s="1"/>
  <c r="E74" i="1"/>
  <c r="I74" i="1"/>
  <c r="J74" i="1" s="1"/>
  <c r="K74" i="1" s="1"/>
  <c r="E77" i="1"/>
  <c r="I77" i="1"/>
  <c r="J77" i="1" s="1"/>
  <c r="K77" i="1" s="1"/>
  <c r="E80" i="1"/>
  <c r="I80" i="1"/>
  <c r="J80" i="1" s="1"/>
  <c r="K80" i="1" s="1"/>
  <c r="E76" i="1"/>
  <c r="I76" i="1"/>
  <c r="J76" i="1" s="1"/>
  <c r="K76" i="1" s="1"/>
  <c r="E75" i="1"/>
  <c r="I75" i="1"/>
  <c r="J75" i="1" s="1"/>
  <c r="K75" i="1" s="1"/>
  <c r="E81" i="1"/>
  <c r="I81" i="1"/>
  <c r="J81" i="1" s="1"/>
  <c r="K81" i="1" s="1"/>
  <c r="E84" i="1"/>
  <c r="I84" i="1"/>
  <c r="J84" i="1" s="1"/>
  <c r="K84" i="1" s="1"/>
  <c r="E86" i="1"/>
  <c r="I86" i="1"/>
  <c r="J86" i="1" s="1"/>
  <c r="K86" i="1" s="1"/>
  <c r="E85" i="1"/>
  <c r="I85" i="1"/>
  <c r="J85" i="1" s="1"/>
  <c r="K85" i="1" s="1"/>
  <c r="E87" i="1"/>
  <c r="I87" i="1"/>
  <c r="J87" i="1" s="1"/>
  <c r="K87" i="1" s="1"/>
  <c r="E90" i="1"/>
  <c r="I90" i="1"/>
  <c r="J90" i="1" s="1"/>
  <c r="K90" i="1" s="1"/>
  <c r="E89" i="1"/>
  <c r="I89" i="1"/>
  <c r="J89" i="1" s="1"/>
  <c r="K89" i="1" s="1"/>
  <c r="E88" i="1"/>
  <c r="I88" i="1"/>
  <c r="J88" i="1" s="1"/>
  <c r="K88" i="1" s="1"/>
  <c r="E93" i="1"/>
  <c r="I93" i="1"/>
  <c r="J93" i="1" s="1"/>
  <c r="K93" i="1" s="1"/>
  <c r="E92" i="1"/>
  <c r="I92" i="1"/>
  <c r="J92" i="1" s="1"/>
  <c r="K92" i="1" s="1"/>
  <c r="E91" i="1"/>
  <c r="I91" i="1"/>
  <c r="J91" i="1" s="1"/>
  <c r="K91" i="1" s="1"/>
  <c r="E96" i="1"/>
  <c r="I96" i="1"/>
  <c r="J96" i="1" s="1"/>
  <c r="K96" i="1" s="1"/>
  <c r="E97" i="1"/>
  <c r="I97" i="1"/>
  <c r="J97" i="1" s="1"/>
  <c r="K97" i="1" s="1"/>
  <c r="E94" i="1"/>
  <c r="I94" i="1"/>
  <c r="J94" i="1" s="1"/>
  <c r="K94" i="1" s="1"/>
  <c r="E95" i="1"/>
  <c r="I95" i="1"/>
  <c r="J95" i="1" s="1"/>
  <c r="K95" i="1" s="1"/>
  <c r="E99" i="1"/>
  <c r="I99" i="1"/>
  <c r="J99" i="1" s="1"/>
  <c r="K99" i="1" s="1"/>
  <c r="E98" i="1"/>
  <c r="I98" i="1"/>
  <c r="J98" i="1" s="1"/>
  <c r="K98" i="1" s="1"/>
  <c r="E100" i="1"/>
  <c r="I100" i="1"/>
  <c r="J100" i="1" s="1"/>
  <c r="K100" i="1" s="1"/>
  <c r="E101" i="1"/>
  <c r="I101" i="1"/>
  <c r="J101" i="1" s="1"/>
  <c r="K101" i="1" s="1"/>
  <c r="E102" i="1"/>
  <c r="I102" i="1"/>
  <c r="J102" i="1" s="1"/>
  <c r="K102" i="1" s="1"/>
  <c r="E103" i="1"/>
  <c r="I103" i="1"/>
  <c r="J103" i="1" s="1"/>
  <c r="K103" i="1" s="1"/>
  <c r="E106" i="1"/>
  <c r="I106" i="1"/>
  <c r="J106" i="1" s="1"/>
  <c r="K106" i="1" s="1"/>
  <c r="E105" i="1"/>
  <c r="I105" i="1"/>
  <c r="J105" i="1" s="1"/>
  <c r="K105" i="1" s="1"/>
  <c r="E63" i="1"/>
  <c r="I63" i="1"/>
  <c r="J63" i="1" s="1"/>
  <c r="K63" i="1" s="1"/>
  <c r="E64" i="1"/>
  <c r="I64" i="1"/>
  <c r="J64" i="1" s="1"/>
  <c r="K64" i="1" s="1"/>
  <c r="E65" i="1"/>
  <c r="I65" i="1"/>
  <c r="J65" i="1" s="1"/>
  <c r="K65" i="1" s="1"/>
  <c r="E66" i="1"/>
  <c r="I66" i="1"/>
  <c r="J66" i="1" s="1"/>
  <c r="K66" i="1" s="1"/>
  <c r="E67" i="1"/>
  <c r="I67" i="1"/>
  <c r="J67" i="1" s="1"/>
  <c r="K67" i="1" s="1"/>
  <c r="E68" i="1"/>
  <c r="I68" i="1"/>
  <c r="J68" i="1" s="1"/>
  <c r="K68" i="1" s="1"/>
  <c r="E69" i="1"/>
  <c r="I69" i="1"/>
  <c r="J69" i="1" s="1"/>
  <c r="K69" i="1" s="1"/>
  <c r="E70" i="1"/>
  <c r="I70" i="1"/>
  <c r="J70" i="1" s="1"/>
  <c r="K70" i="1" s="1"/>
  <c r="E71" i="1"/>
  <c r="I71" i="1"/>
  <c r="J71" i="1" s="1"/>
  <c r="K71" i="1" s="1"/>
  <c r="E72" i="1"/>
  <c r="I72" i="1"/>
  <c r="J72" i="1" s="1"/>
  <c r="K72" i="1" s="1"/>
  <c r="E73" i="1"/>
  <c r="I73" i="1"/>
  <c r="J73" i="1" s="1"/>
  <c r="K73" i="1" s="1"/>
  <c r="E107" i="1"/>
  <c r="I107" i="1"/>
  <c r="J107" i="1" s="1"/>
  <c r="K107" i="1" s="1"/>
  <c r="E108" i="1"/>
  <c r="I108" i="1"/>
  <c r="J108" i="1" s="1"/>
  <c r="K108" i="1" s="1"/>
  <c r="E104" i="1"/>
  <c r="I104" i="1"/>
  <c r="J104" i="1" s="1"/>
  <c r="K104" i="1" s="1"/>
  <c r="E10" i="1"/>
  <c r="I10" i="1"/>
  <c r="J10" i="1" s="1"/>
  <c r="K10" i="1" s="1"/>
  <c r="E17" i="1"/>
  <c r="I17" i="1"/>
  <c r="J17" i="1" s="1"/>
  <c r="K17" i="1" s="1"/>
  <c r="E23" i="1"/>
  <c r="I23" i="1"/>
  <c r="J23" i="1" s="1"/>
  <c r="K23" i="1" s="1"/>
  <c r="E42" i="1"/>
  <c r="I42" i="1"/>
  <c r="J42" i="1" s="1"/>
  <c r="K42" i="1" s="1"/>
  <c r="E46" i="1"/>
  <c r="I46" i="1"/>
  <c r="J46" i="1" s="1"/>
  <c r="K46" i="1" s="1"/>
  <c r="E45" i="1"/>
  <c r="I45" i="1"/>
  <c r="J45" i="1" s="1"/>
  <c r="K45" i="1" s="1"/>
  <c r="E52" i="1"/>
  <c r="I52" i="1"/>
  <c r="J52" i="1" s="1"/>
  <c r="K52" i="1" s="1"/>
  <c r="E51" i="1"/>
  <c r="I51" i="1"/>
  <c r="J51" i="1" s="1"/>
  <c r="K51" i="1" s="1"/>
  <c r="E49" i="1"/>
  <c r="I49" i="1"/>
  <c r="J49" i="1" s="1"/>
  <c r="K49" i="1" s="1"/>
  <c r="E57" i="1"/>
  <c r="I57" i="1"/>
  <c r="J57" i="1" s="1"/>
  <c r="K57" i="1" s="1"/>
  <c r="E82" i="1"/>
  <c r="I82" i="1"/>
  <c r="J82" i="1" s="1"/>
  <c r="K82" i="1" s="1"/>
  <c r="E109" i="1"/>
  <c r="I109" i="1"/>
  <c r="J109" i="1" s="1"/>
  <c r="K109" i="1" s="1"/>
  <c r="E110" i="1"/>
  <c r="I110" i="1"/>
  <c r="J110" i="1" s="1"/>
  <c r="K110" i="1" s="1"/>
  <c r="E111" i="1"/>
  <c r="I111" i="1"/>
  <c r="J111" i="1" s="1"/>
  <c r="K111" i="1" s="1"/>
  <c r="E112" i="1"/>
  <c r="I112" i="1"/>
  <c r="J112" i="1" s="1"/>
  <c r="K112" i="1" s="1"/>
  <c r="E116" i="1"/>
  <c r="I116" i="1"/>
  <c r="J116" i="1" s="1"/>
  <c r="K116" i="1" s="1"/>
  <c r="E114" i="1"/>
  <c r="I114" i="1"/>
  <c r="J114" i="1" s="1"/>
  <c r="K114" i="1" s="1"/>
  <c r="E115" i="1"/>
  <c r="I115" i="1"/>
  <c r="J115" i="1" s="1"/>
  <c r="K115" i="1" s="1"/>
  <c r="E113" i="1"/>
  <c r="I113" i="1"/>
  <c r="J113" i="1" s="1"/>
  <c r="K113" i="1" s="1"/>
  <c r="E120" i="1"/>
  <c r="I120" i="1"/>
  <c r="J120" i="1" s="1"/>
  <c r="K120" i="1" s="1"/>
  <c r="E117" i="1"/>
  <c r="I117" i="1"/>
  <c r="J117" i="1" s="1"/>
  <c r="K117" i="1" s="1"/>
  <c r="E121" i="1"/>
  <c r="I121" i="1"/>
  <c r="J121" i="1" s="1"/>
  <c r="K121" i="1" s="1"/>
  <c r="E123" i="1"/>
  <c r="I123" i="1"/>
  <c r="J123" i="1" s="1"/>
  <c r="K123" i="1" s="1"/>
  <c r="E122" i="1"/>
  <c r="I122" i="1"/>
  <c r="J122" i="1" s="1"/>
  <c r="K122" i="1" s="1"/>
  <c r="E124" i="1"/>
  <c r="I124" i="1"/>
  <c r="J124" i="1" s="1"/>
  <c r="K124" i="1" s="1"/>
  <c r="E118" i="1"/>
  <c r="I118" i="1"/>
  <c r="J118" i="1" s="1"/>
  <c r="K118" i="1" s="1"/>
  <c r="E119" i="1"/>
  <c r="I119" i="1"/>
  <c r="J119" i="1" s="1"/>
  <c r="K119" i="1" s="1"/>
  <c r="E133" i="1"/>
  <c r="I133" i="1"/>
  <c r="J133" i="1" s="1"/>
  <c r="K133" i="1" s="1"/>
  <c r="E132" i="1"/>
  <c r="I132" i="1"/>
  <c r="J132" i="1" s="1"/>
  <c r="K132" i="1" s="1"/>
  <c r="E127" i="1"/>
  <c r="I127" i="1"/>
  <c r="J127" i="1" s="1"/>
  <c r="K127" i="1" s="1"/>
  <c r="E125" i="1"/>
  <c r="I125" i="1"/>
  <c r="J125" i="1" s="1"/>
  <c r="K125" i="1" s="1"/>
  <c r="E128" i="1"/>
  <c r="I128" i="1"/>
  <c r="J128" i="1" s="1"/>
  <c r="K128" i="1" s="1"/>
  <c r="E126" i="1"/>
  <c r="I126" i="1"/>
  <c r="J126" i="1" s="1"/>
  <c r="K126" i="1" s="1"/>
  <c r="E131" i="1"/>
  <c r="I131" i="1"/>
  <c r="J131" i="1" s="1"/>
  <c r="K131" i="1" s="1"/>
  <c r="E129" i="1"/>
  <c r="I129" i="1"/>
  <c r="J129" i="1" s="1"/>
  <c r="K129" i="1" s="1"/>
  <c r="E130" i="1"/>
  <c r="I130" i="1"/>
  <c r="J130" i="1" s="1"/>
  <c r="K130" i="1" s="1"/>
  <c r="E135" i="1"/>
  <c r="I135" i="1"/>
  <c r="J135" i="1" s="1"/>
  <c r="K135" i="1" s="1"/>
  <c r="E134" i="1"/>
  <c r="I134" i="1"/>
  <c r="J134" i="1" s="1"/>
  <c r="K134" i="1" s="1"/>
  <c r="E136" i="1"/>
  <c r="I136" i="1"/>
  <c r="J136" i="1" s="1"/>
  <c r="K136" i="1" s="1"/>
  <c r="E137" i="1"/>
  <c r="I137" i="1"/>
  <c r="J137" i="1" s="1"/>
  <c r="K137" i="1" s="1"/>
  <c r="H52" i="2"/>
  <c r="I52" i="2"/>
  <c r="J52" i="2"/>
  <c r="C5" i="2"/>
  <c r="C6" i="2"/>
  <c r="C7" i="2"/>
  <c r="C8" i="2"/>
  <c r="C9" i="2"/>
  <c r="C10" i="2"/>
  <c r="C11" i="2"/>
  <c r="C13" i="2"/>
  <c r="C15" i="2"/>
  <c r="C16" i="2"/>
  <c r="C17" i="2"/>
  <c r="C20" i="2"/>
  <c r="C21" i="2"/>
  <c r="C24" i="2"/>
  <c r="C25" i="2"/>
  <c r="C26" i="2"/>
  <c r="C27" i="2"/>
  <c r="C28" i="2"/>
  <c r="C29" i="2"/>
  <c r="C30" i="2"/>
  <c r="C31" i="2"/>
  <c r="C32" i="2"/>
  <c r="C33" i="2"/>
  <c r="D6" i="2"/>
  <c r="D7" i="2"/>
  <c r="D8" i="2"/>
  <c r="D9" i="2"/>
  <c r="D10" i="2"/>
  <c r="D11" i="2"/>
  <c r="D13" i="2"/>
  <c r="D15" i="2"/>
  <c r="D16" i="2"/>
  <c r="D17" i="2"/>
  <c r="D20" i="2"/>
  <c r="D21" i="2"/>
  <c r="D24" i="2"/>
  <c r="D25" i="2"/>
  <c r="D26" i="2"/>
  <c r="D33" i="2"/>
  <c r="E33" i="2"/>
  <c r="E32" i="2"/>
  <c r="D32" i="2"/>
  <c r="D29" i="2"/>
  <c r="E29" i="2"/>
  <c r="D30" i="2"/>
  <c r="E30" i="2"/>
  <c r="D31" i="2"/>
  <c r="E31" i="2"/>
  <c r="E28" i="2"/>
  <c r="D28" i="2"/>
  <c r="E27" i="2"/>
  <c r="D27" i="2"/>
  <c r="E26" i="2"/>
  <c r="E25" i="2"/>
  <c r="E24" i="2"/>
  <c r="E21" i="2"/>
  <c r="E15" i="2"/>
  <c r="E16" i="2"/>
  <c r="E17" i="2"/>
  <c r="E20" i="2"/>
  <c r="E13" i="2"/>
  <c r="E5" i="2"/>
  <c r="E6" i="2"/>
  <c r="E7" i="2"/>
  <c r="E8" i="2"/>
  <c r="E9" i="2"/>
  <c r="E10" i="2"/>
  <c r="E11" i="2"/>
  <c r="D5" i="2"/>
  <c r="D54" i="4"/>
  <c r="E54" i="4" s="1"/>
  <c r="F54" i="4" s="1"/>
  <c r="D38" i="4"/>
  <c r="E38" i="4" s="1"/>
  <c r="F38" i="4" s="1"/>
  <c r="D50" i="4"/>
  <c r="E50" i="4" s="1"/>
  <c r="F50" i="4" s="1"/>
  <c r="D36" i="4"/>
  <c r="E36" i="4" s="1"/>
  <c r="F36" i="4" s="1"/>
  <c r="D40" i="4"/>
  <c r="E40" i="4" s="1"/>
  <c r="F40" i="4" s="1"/>
  <c r="D5" i="4"/>
  <c r="E5" i="4" s="1"/>
  <c r="F5" i="4" s="1"/>
  <c r="D17" i="4"/>
  <c r="E17" i="4" s="1"/>
  <c r="F17" i="4" s="1"/>
  <c r="D44" i="4"/>
  <c r="E44" i="4" s="1"/>
  <c r="F44" i="4" s="1"/>
  <c r="D47" i="4"/>
  <c r="E47" i="4" s="1"/>
  <c r="F47" i="4" s="1"/>
  <c r="D28" i="4"/>
  <c r="E28" i="4" s="1"/>
  <c r="F28" i="4" s="1"/>
  <c r="D21" i="4"/>
  <c r="E21" i="4" s="1"/>
  <c r="F21" i="4" s="1"/>
  <c r="D25" i="4"/>
  <c r="E25" i="4" s="1"/>
  <c r="F25" i="4" s="1"/>
  <c r="D10" i="4"/>
  <c r="E10" i="4" s="1"/>
  <c r="F10" i="4" s="1"/>
  <c r="D31" i="4"/>
  <c r="E31" i="4" s="1"/>
  <c r="F31" i="4" s="1"/>
  <c r="D37" i="4"/>
  <c r="E37" i="4" s="1"/>
  <c r="F37" i="4" s="1"/>
  <c r="D26" i="4"/>
  <c r="E26" i="4" s="1"/>
  <c r="F26" i="4" s="1"/>
  <c r="D14" i="4"/>
  <c r="E14" i="4" s="1"/>
  <c r="F14" i="4" s="1"/>
  <c r="D7" i="4"/>
  <c r="E7" i="4" s="1"/>
  <c r="F7" i="4" s="1"/>
  <c r="D34" i="4"/>
  <c r="E34" i="4" s="1"/>
  <c r="F34" i="4" s="1"/>
  <c r="D48" i="4"/>
  <c r="E48" i="4" s="1"/>
  <c r="F48" i="4" s="1"/>
  <c r="D13" i="4"/>
  <c r="E13" i="4" s="1"/>
  <c r="F13" i="4" s="1"/>
  <c r="D15" i="4"/>
  <c r="E15" i="4" s="1"/>
  <c r="F15" i="4" s="1"/>
  <c r="D32" i="4"/>
  <c r="E32" i="4" s="1"/>
  <c r="F32" i="4" s="1"/>
  <c r="D19" i="4"/>
  <c r="E19" i="4" s="1"/>
  <c r="F19" i="4" s="1"/>
  <c r="D56" i="4"/>
  <c r="E56" i="4" s="1"/>
  <c r="F56" i="4" s="1"/>
  <c r="D42" i="4"/>
  <c r="E42" i="4" s="1"/>
  <c r="F42" i="4" s="1"/>
  <c r="D46" i="4"/>
  <c r="E46" i="4" s="1"/>
  <c r="F46" i="4" s="1"/>
  <c r="D35" i="4"/>
  <c r="E35" i="4" s="1"/>
  <c r="F35" i="4" s="1"/>
  <c r="D9" i="4"/>
  <c r="E9" i="4" s="1"/>
  <c r="F9" i="4" s="1"/>
  <c r="D43" i="4"/>
  <c r="E43" i="4" s="1"/>
  <c r="F43" i="4" s="1"/>
  <c r="D49" i="4"/>
  <c r="E49" i="4" s="1"/>
  <c r="F49" i="4" s="1"/>
  <c r="D18" i="4"/>
  <c r="E18" i="4" s="1"/>
  <c r="F18" i="4" s="1"/>
  <c r="D51" i="4"/>
  <c r="E51" i="4" s="1"/>
  <c r="F51" i="4" s="1"/>
  <c r="D52" i="4"/>
  <c r="E52" i="4" s="1"/>
  <c r="F52" i="4" s="1"/>
  <c r="D53" i="4"/>
  <c r="E53" i="4" s="1"/>
  <c r="F53" i="4" s="1"/>
  <c r="D27" i="4"/>
  <c r="E27" i="4" s="1"/>
  <c r="F27" i="4" s="1"/>
  <c r="D55" i="4"/>
  <c r="E55" i="4" s="1"/>
  <c r="F55" i="4" s="1"/>
  <c r="D39" i="4"/>
  <c r="E39" i="4" s="1"/>
  <c r="F39" i="4" s="1"/>
  <c r="D45" i="4"/>
  <c r="E45" i="4" s="1"/>
  <c r="F45" i="4" s="1"/>
  <c r="D20" i="4"/>
  <c r="E20" i="4" s="1"/>
  <c r="F20" i="4" s="1"/>
  <c r="D41" i="4"/>
  <c r="E41" i="4" s="1"/>
  <c r="F41" i="4" s="1"/>
  <c r="D16" i="4"/>
  <c r="E16" i="4" s="1"/>
  <c r="F16" i="4" s="1"/>
  <c r="D23" i="4"/>
  <c r="E23" i="4" s="1"/>
  <c r="F23" i="4" s="1"/>
  <c r="D11" i="4"/>
  <c r="E11" i="4" s="1"/>
  <c r="F11" i="4" s="1"/>
  <c r="D24" i="4"/>
  <c r="E24" i="4" s="1"/>
  <c r="F24" i="4" s="1"/>
  <c r="D29" i="4"/>
  <c r="E29" i="4" s="1"/>
  <c r="F29" i="4" s="1"/>
  <c r="D30" i="4"/>
  <c r="E30" i="4" s="1"/>
  <c r="F30" i="4" s="1"/>
  <c r="D8" i="4"/>
  <c r="E8" i="4" s="1"/>
  <c r="F8" i="4" s="1"/>
  <c r="D22" i="4"/>
  <c r="B17" i="4"/>
  <c r="B9" i="4"/>
  <c r="B38" i="4"/>
  <c r="B26" i="4"/>
  <c r="E76" i="5"/>
  <c r="D76" i="5"/>
  <c r="E59" i="5"/>
  <c r="D59" i="5"/>
  <c r="E51" i="5"/>
  <c r="D51" i="5"/>
  <c r="E46" i="5"/>
  <c r="D46" i="5"/>
  <c r="E41" i="5"/>
  <c r="D41" i="5"/>
  <c r="O39" i="5"/>
  <c r="O42" i="5" s="1"/>
  <c r="N39" i="5"/>
  <c r="O35" i="5"/>
  <c r="N35" i="5"/>
  <c r="T32" i="5"/>
  <c r="S32" i="5"/>
  <c r="E32" i="5"/>
  <c r="D32" i="5"/>
  <c r="O31" i="5"/>
  <c r="N31" i="5"/>
  <c r="J30" i="5"/>
  <c r="I30" i="5"/>
  <c r="B29" i="5"/>
  <c r="B28" i="5"/>
  <c r="T27" i="5"/>
  <c r="S27" i="5"/>
  <c r="B27" i="5"/>
  <c r="O26" i="5"/>
  <c r="N26" i="5"/>
  <c r="J26" i="5"/>
  <c r="I26" i="5"/>
  <c r="B26" i="5"/>
  <c r="B25" i="5"/>
  <c r="B24" i="5"/>
  <c r="T23" i="5"/>
  <c r="S23" i="5"/>
  <c r="B23" i="5"/>
  <c r="J22" i="5"/>
  <c r="I22" i="5"/>
  <c r="B22" i="5"/>
  <c r="O21" i="5"/>
  <c r="N21" i="5"/>
  <c r="B21" i="5"/>
  <c r="B20" i="5"/>
  <c r="T19" i="5"/>
  <c r="S19" i="5"/>
  <c r="B19" i="5"/>
  <c r="J18" i="5"/>
  <c r="J33" i="5" s="1"/>
  <c r="I18" i="5"/>
  <c r="I33" i="5" s="1"/>
  <c r="B18" i="5"/>
  <c r="B17" i="5"/>
  <c r="B16" i="5"/>
  <c r="B15" i="5"/>
  <c r="B14" i="5"/>
  <c r="O13" i="5"/>
  <c r="N13" i="5"/>
  <c r="B13" i="5"/>
  <c r="B12" i="5"/>
  <c r="S11" i="5"/>
  <c r="L11" i="5"/>
  <c r="B11" i="5"/>
  <c r="L10" i="5"/>
  <c r="J10" i="5"/>
  <c r="I10" i="5"/>
  <c r="B10" i="5"/>
  <c r="Q9" i="5"/>
  <c r="L9" i="5"/>
  <c r="B9" i="5"/>
  <c r="Q8" i="5"/>
  <c r="L8" i="5"/>
  <c r="G8" i="5"/>
  <c r="B8" i="5"/>
  <c r="Q7" i="5"/>
  <c r="L7" i="5"/>
  <c r="G7" i="5"/>
  <c r="B7" i="5"/>
  <c r="Q6" i="5"/>
  <c r="L6" i="5"/>
  <c r="G6" i="5"/>
  <c r="B6" i="5"/>
  <c r="Q5" i="5"/>
  <c r="L5" i="5"/>
  <c r="G5" i="5"/>
  <c r="B5" i="5"/>
  <c r="T35" i="5" l="1"/>
  <c r="E79" i="5"/>
  <c r="D79" i="5"/>
  <c r="S35" i="5"/>
  <c r="N42" i="5"/>
  <c r="D36" i="2"/>
  <c r="E36" i="2"/>
  <c r="J13" i="2"/>
  <c r="H169" i="3" l="1"/>
  <c r="Q4" i="1" l="1"/>
  <c r="B67" i="3" l="1"/>
  <c r="H168" i="3"/>
  <c r="B66" i="3"/>
  <c r="H167" i="3" l="1"/>
  <c r="H166" i="3" l="1"/>
  <c r="H165" i="3"/>
  <c r="B65" i="3" l="1"/>
  <c r="H164" i="3"/>
  <c r="H163" i="3"/>
  <c r="H162" i="3"/>
  <c r="H161" i="3"/>
  <c r="B42" i="3" l="1"/>
  <c r="H160" i="3"/>
  <c r="B64" i="3"/>
  <c r="B63" i="3"/>
  <c r="H159" i="3"/>
  <c r="H158" i="3"/>
  <c r="B62" i="3"/>
  <c r="H157" i="3"/>
  <c r="H156" i="3"/>
  <c r="H155" i="3"/>
  <c r="B61" i="3"/>
  <c r="H154" i="3"/>
  <c r="H153" i="3"/>
  <c r="B60" i="3"/>
  <c r="B59" i="3"/>
  <c r="B7" i="1" l="1"/>
  <c r="E7" i="1"/>
  <c r="I7" i="1"/>
  <c r="J7" i="1" s="1"/>
  <c r="K7" i="1" s="1"/>
  <c r="B52" i="4"/>
  <c r="B35" i="4"/>
  <c r="B21" i="4"/>
  <c r="B41" i="4"/>
  <c r="B19" i="4"/>
  <c r="B8" i="4"/>
  <c r="B43" i="4"/>
  <c r="B18" i="4"/>
  <c r="B50" i="4"/>
  <c r="B27" i="4"/>
  <c r="B7" i="4"/>
  <c r="B46" i="4"/>
  <c r="B11" i="4"/>
  <c r="B54" i="4"/>
  <c r="B37" i="4"/>
  <c r="B55" i="4"/>
  <c r="B29" i="4"/>
  <c r="B28" i="4"/>
  <c r="B22" i="4"/>
  <c r="B20" i="4"/>
  <c r="B40" i="4"/>
  <c r="B44" i="4"/>
  <c r="B31" i="4"/>
  <c r="B13" i="4"/>
  <c r="B16" i="4"/>
  <c r="B45" i="4"/>
  <c r="B36" i="4"/>
  <c r="B32" i="4"/>
  <c r="B49" i="4"/>
  <c r="B42" i="4"/>
  <c r="B15" i="4"/>
  <c r="B39" i="4"/>
  <c r="B23" i="4"/>
  <c r="B51" i="4"/>
  <c r="B5" i="4"/>
  <c r="B30" i="4"/>
  <c r="B56" i="4"/>
  <c r="B53" i="4"/>
  <c r="B14" i="4"/>
  <c r="B34" i="4"/>
  <c r="B47" i="4"/>
  <c r="B10" i="4"/>
  <c r="B25" i="4"/>
  <c r="B24" i="4"/>
  <c r="B48" i="4"/>
  <c r="B5" i="2"/>
  <c r="J5" i="4"/>
  <c r="E22" i="4"/>
  <c r="F22" i="4" s="1"/>
  <c r="J57" i="2"/>
  <c r="I57" i="2"/>
  <c r="H57" i="2"/>
  <c r="J45" i="2"/>
  <c r="I45" i="2"/>
  <c r="H45" i="2"/>
  <c r="H41" i="2"/>
  <c r="J41" i="2"/>
  <c r="I41" i="2"/>
  <c r="I13" i="2"/>
  <c r="B52" i="3" l="1"/>
  <c r="B51" i="3"/>
  <c r="H152" i="3"/>
  <c r="H151" i="3"/>
  <c r="H150" i="3"/>
  <c r="H149" i="3"/>
  <c r="H148" i="3"/>
  <c r="H147" i="3" l="1"/>
  <c r="H146" i="3"/>
  <c r="B47" i="3"/>
  <c r="H145" i="3"/>
  <c r="B58" i="3"/>
  <c r="B57" i="3"/>
  <c r="H144" i="3"/>
  <c r="B56" i="3"/>
  <c r="H143" i="3" l="1"/>
  <c r="H8" i="3"/>
  <c r="B48" i="3"/>
  <c r="H11" i="3"/>
  <c r="H9" i="3"/>
  <c r="H12" i="3"/>
  <c r="H4" i="3"/>
  <c r="B50" i="3"/>
  <c r="B15" i="3" l="1"/>
  <c r="B14" i="3"/>
  <c r="H10" i="3" l="1"/>
  <c r="B41" i="3"/>
  <c r="H7" i="3"/>
  <c r="H6" i="3"/>
  <c r="H14" i="3"/>
  <c r="H5" i="3"/>
  <c r="B45" i="3"/>
  <c r="H15" i="3"/>
  <c r="H16" i="3"/>
  <c r="H13" i="3"/>
  <c r="H142" i="3"/>
  <c r="H17" i="3"/>
  <c r="H29" i="3"/>
  <c r="B44" i="3"/>
  <c r="H28" i="3"/>
  <c r="H27" i="3"/>
  <c r="H26" i="3"/>
  <c r="H24" i="3"/>
  <c r="H25" i="3"/>
  <c r="B43" i="3"/>
  <c r="B46" i="3"/>
  <c r="B49" i="3"/>
  <c r="B53" i="3"/>
  <c r="B55" i="3"/>
  <c r="J37" i="2" l="1"/>
  <c r="I37" i="2"/>
  <c r="I60" i="2" s="1"/>
  <c r="H37" i="2"/>
  <c r="B6" i="2"/>
  <c r="B7" i="2"/>
  <c r="H32" i="3" l="1"/>
  <c r="H31" i="3" l="1"/>
  <c r="B40" i="3" l="1"/>
  <c r="B18" i="3" l="1"/>
  <c r="B35" i="3"/>
  <c r="N16" i="3"/>
  <c r="H34" i="3"/>
  <c r="B17" i="3"/>
  <c r="B16" i="3"/>
  <c r="B34" i="3" l="1"/>
  <c r="B71" i="3"/>
  <c r="B13" i="3"/>
  <c r="B12" i="3"/>
  <c r="H22" i="3" l="1"/>
  <c r="B33" i="3"/>
  <c r="B11" i="3"/>
  <c r="H30" i="3" l="1"/>
  <c r="N15" i="3" l="1"/>
  <c r="B10" i="3"/>
  <c r="B9" i="3"/>
  <c r="B32" i="3"/>
  <c r="N14" i="3"/>
  <c r="N13" i="3"/>
  <c r="N12" i="3"/>
  <c r="N11" i="3"/>
  <c r="N4" i="3"/>
  <c r="N5" i="3"/>
  <c r="N6" i="3"/>
  <c r="N7" i="3"/>
  <c r="N8" i="3"/>
  <c r="N9" i="3"/>
  <c r="N10" i="3"/>
  <c r="B8" i="3"/>
  <c r="B7" i="3" l="1"/>
  <c r="B6" i="3" l="1"/>
  <c r="B70" i="3"/>
  <c r="J24" i="2" l="1"/>
  <c r="J60" i="2" s="1"/>
  <c r="H24" i="2"/>
  <c r="H13" i="2"/>
  <c r="H60" i="2" l="1"/>
  <c r="H18" i="3"/>
  <c r="B20" i="3"/>
  <c r="B19" i="3"/>
  <c r="B5" i="3"/>
  <c r="B54" i="3"/>
  <c r="H23" i="3" l="1"/>
  <c r="B31" i="3"/>
  <c r="H20" i="3"/>
  <c r="H19" i="3"/>
  <c r="B4" i="3" l="1"/>
  <c r="B30" i="3" l="1"/>
  <c r="B29" i="3"/>
  <c r="H33" i="3"/>
  <c r="H21" i="3"/>
  <c r="H141" i="3"/>
  <c r="H140" i="3"/>
  <c r="H139" i="3"/>
  <c r="H138" i="3"/>
  <c r="H137" i="3"/>
  <c r="H136" i="3"/>
  <c r="H135" i="3"/>
  <c r="H134" i="3"/>
  <c r="H133" i="3"/>
  <c r="H132" i="3"/>
  <c r="H131" i="3"/>
  <c r="H130" i="3"/>
  <c r="H129" i="3"/>
  <c r="H128" i="3"/>
  <c r="H127" i="3"/>
  <c r="H126" i="3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B21" i="3"/>
  <c r="H47" i="3"/>
  <c r="B69" i="3"/>
  <c r="H46" i="3"/>
  <c r="B28" i="3"/>
  <c r="H45" i="3"/>
  <c r="B27" i="3"/>
  <c r="H44" i="3"/>
  <c r="B26" i="3"/>
  <c r="H43" i="3"/>
  <c r="B68" i="3"/>
  <c r="H42" i="3"/>
  <c r="B39" i="3"/>
  <c r="H41" i="3"/>
  <c r="B38" i="3"/>
  <c r="H40" i="3"/>
  <c r="B37" i="3"/>
  <c r="H39" i="3"/>
  <c r="B36" i="3"/>
  <c r="H38" i="3"/>
  <c r="B25" i="3"/>
  <c r="H37" i="3"/>
  <c r="B24" i="3"/>
  <c r="H36" i="3"/>
  <c r="B23" i="3"/>
  <c r="H35" i="3"/>
  <c r="B2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<sst xmlns="http://schemas.openxmlformats.org/spreadsheetml/2006/main" count="2499" uniqueCount="585">
  <si>
    <t>Distribusi Nasi Minang Raya II</t>
  </si>
  <si>
    <t>Pangan</t>
  </si>
  <si>
    <t>Cerita Kolong Langit</t>
  </si>
  <si>
    <t>Ruang Yakin Cerdas</t>
  </si>
  <si>
    <t>Pendidikan</t>
  </si>
  <si>
    <t>Total PM</t>
  </si>
  <si>
    <t>Sekolah Pinggiran Sriwijaya</t>
  </si>
  <si>
    <t>Rumah Belajar Ceria</t>
  </si>
  <si>
    <t>PJ TIM</t>
  </si>
  <si>
    <t>Snack Ceria</t>
  </si>
  <si>
    <t>Syiar &amp; Dakwah</t>
  </si>
  <si>
    <t>KATEGORI PROGRAM</t>
  </si>
  <si>
    <t>Pemberdayaan</t>
  </si>
  <si>
    <t>Event Sosial</t>
  </si>
  <si>
    <t>KETERANGAN PROGRAM</t>
  </si>
  <si>
    <t>NO</t>
  </si>
  <si>
    <t>NAMA PROGRAM</t>
  </si>
  <si>
    <t>Free Food Car Sekolah Relawan</t>
  </si>
  <si>
    <t>Distribusi Makan Warung Nusantara</t>
  </si>
  <si>
    <t>Distribusi Al-Qur'an</t>
  </si>
  <si>
    <t>Sembako Lansia &amp; Guru Ngaji</t>
  </si>
  <si>
    <t>Distribusi Nasi Almaz</t>
  </si>
  <si>
    <t>TITIK MAPS</t>
  </si>
  <si>
    <t>KECAMATAN</t>
  </si>
  <si>
    <t>PROVINSI</t>
  </si>
  <si>
    <t>JUMLAH PM</t>
  </si>
  <si>
    <t>BENTUK BANTUAN</t>
  </si>
  <si>
    <t>KATEGORI SEBARAN DAMPAK</t>
  </si>
  <si>
    <t>No</t>
  </si>
  <si>
    <t>Kelurahan</t>
  </si>
  <si>
    <t>Kecamatan</t>
  </si>
  <si>
    <t>Provinsi</t>
  </si>
  <si>
    <t>Alang-Alang Lebar</t>
  </si>
  <si>
    <t>Karya Baru</t>
  </si>
  <si>
    <t>Srijaya</t>
  </si>
  <si>
    <t>Talang Kelapa</t>
  </si>
  <si>
    <t>19 Ilir</t>
  </si>
  <si>
    <t>22 Ilir</t>
  </si>
  <si>
    <t>24 Ilir</t>
  </si>
  <si>
    <t>26 Ilir</t>
  </si>
  <si>
    <t>Talang Semut</t>
  </si>
  <si>
    <t>36 Ilir</t>
  </si>
  <si>
    <t>Gandus</t>
  </si>
  <si>
    <t>Karang Anyar</t>
  </si>
  <si>
    <t>Pulo Kerto</t>
  </si>
  <si>
    <t>26 Ilir D-I</t>
  </si>
  <si>
    <t>Bukit Baru</t>
  </si>
  <si>
    <t>Bukit Lama</t>
  </si>
  <si>
    <t>Demang Lebar Daun</t>
  </si>
  <si>
    <t>Lorok Pakjo</t>
  </si>
  <si>
    <t>Siring Agung</t>
  </si>
  <si>
    <t>27 Ilir</t>
  </si>
  <si>
    <t>28 Ilir</t>
  </si>
  <si>
    <t>29 Ilir</t>
  </si>
  <si>
    <t>30 Ilir</t>
  </si>
  <si>
    <t>32 Ilir</t>
  </si>
  <si>
    <t>35 Ilir</t>
  </si>
  <si>
    <t>Kemang Manis</t>
  </si>
  <si>
    <t>13 Ilir</t>
  </si>
  <si>
    <t>14 Ilir</t>
  </si>
  <si>
    <t>15 Ilir</t>
  </si>
  <si>
    <t>16 Ilir</t>
  </si>
  <si>
    <t>17 Ilir</t>
  </si>
  <si>
    <t>18 Ilir</t>
  </si>
  <si>
    <t>20 Ilir D-I</t>
  </si>
  <si>
    <t>20 Ilir D-III</t>
  </si>
  <si>
    <t>20 Ilir D-IV</t>
  </si>
  <si>
    <t>Kepandean baru</t>
  </si>
  <si>
    <t>Sungai Pangeran</t>
  </si>
  <si>
    <t>1 Ilir</t>
  </si>
  <si>
    <t>2 Ilir</t>
  </si>
  <si>
    <t>3 Ilir</t>
  </si>
  <si>
    <t>5 Ilir</t>
  </si>
  <si>
    <t>Lawang Kidul</t>
  </si>
  <si>
    <t>Sungai Buah</t>
  </si>
  <si>
    <t>8 Ilir</t>
  </si>
  <si>
    <t>9 Ilir</t>
  </si>
  <si>
    <t>10 Ilir</t>
  </si>
  <si>
    <t>11 Ilir</t>
  </si>
  <si>
    <t>Duku</t>
  </si>
  <si>
    <t>Kuto Batu</t>
  </si>
  <si>
    <t>8 Ulu</t>
  </si>
  <si>
    <t>9/10 Ulu</t>
  </si>
  <si>
    <t>15 Ulu</t>
  </si>
  <si>
    <t>Silaberanti</t>
  </si>
  <si>
    <t>Tuan Kentang</t>
  </si>
  <si>
    <t>Bukit Sangkal</t>
  </si>
  <si>
    <t>Kalidoni</t>
  </si>
  <si>
    <t>Sei Lais</t>
  </si>
  <si>
    <t>Sei Selayur</t>
  </si>
  <si>
    <t>Sei Selincah</t>
  </si>
  <si>
    <t>Ario Kemuning</t>
  </si>
  <si>
    <t>Pahlawan</t>
  </si>
  <si>
    <t>Pipa Reja</t>
  </si>
  <si>
    <t>Sekip Jaya</t>
  </si>
  <si>
    <t>Talang Aman</t>
  </si>
  <si>
    <t>Karya Jaya</t>
  </si>
  <si>
    <t>Kemang Agung</t>
  </si>
  <si>
    <t>Kemas Rindo</t>
  </si>
  <si>
    <t>Keramasan</t>
  </si>
  <si>
    <t>Kertapati</t>
  </si>
  <si>
    <t>Ogan Baru</t>
  </si>
  <si>
    <t>Bagus Kuning</t>
  </si>
  <si>
    <t xml:space="preserve">Komperta </t>
  </si>
  <si>
    <t>Plaju Darat</t>
  </si>
  <si>
    <t>Plaju Ilir</t>
  </si>
  <si>
    <t>Plaju Ulu</t>
  </si>
  <si>
    <t>Talang Bubuk</t>
  </si>
  <si>
    <t>Talang Putri</t>
  </si>
  <si>
    <t>Sako</t>
  </si>
  <si>
    <t>Sako Baru</t>
  </si>
  <si>
    <t>Sialang</t>
  </si>
  <si>
    <t>Sukamaju</t>
  </si>
  <si>
    <t>1 Ulu</t>
  </si>
  <si>
    <t>2 Ulu</t>
  </si>
  <si>
    <t>3-4 Ulu</t>
  </si>
  <si>
    <t>5 Ulu</t>
  </si>
  <si>
    <t>7 Ulu</t>
  </si>
  <si>
    <t>11 Ulu</t>
  </si>
  <si>
    <t>12 Ulu</t>
  </si>
  <si>
    <t>13 Ulu</t>
  </si>
  <si>
    <t>14 Ulu</t>
  </si>
  <si>
    <t>16 Ulu</t>
  </si>
  <si>
    <t>Sentosa</t>
  </si>
  <si>
    <t>Tangga Takat</t>
  </si>
  <si>
    <t>Karya Mulya</t>
  </si>
  <si>
    <t>Lebung Gajah</t>
  </si>
  <si>
    <t>Sri Mulya</t>
  </si>
  <si>
    <t>Sukamulya</t>
  </si>
  <si>
    <t>Kebun Bunga</t>
  </si>
  <si>
    <t>Sukabangun</t>
  </si>
  <si>
    <t>Sukajaya</t>
  </si>
  <si>
    <t>Sukarami</t>
  </si>
  <si>
    <t>Sukodadi</t>
  </si>
  <si>
    <t>Talang Betutu</t>
  </si>
  <si>
    <t>Talang Jambe</t>
  </si>
  <si>
    <t>Bukit Kecil</t>
  </si>
  <si>
    <t>23 Ilir</t>
  </si>
  <si>
    <t>Karang Jaya</t>
  </si>
  <si>
    <t>Ilir Barat I</t>
  </si>
  <si>
    <t>Ilir Barat II</t>
  </si>
  <si>
    <t>Ilir Timur I</t>
  </si>
  <si>
    <t>Ilir Timur II</t>
  </si>
  <si>
    <t>Ilir Timur III</t>
  </si>
  <si>
    <t>Jakabaring</t>
  </si>
  <si>
    <t>Kemuning</t>
  </si>
  <si>
    <t>Plaju</t>
  </si>
  <si>
    <t>Seberang Ulu I</t>
  </si>
  <si>
    <t>Seberang Ulu II</t>
  </si>
  <si>
    <t>Sematang Borang</t>
  </si>
  <si>
    <t>Sumatera Selatan</t>
  </si>
  <si>
    <t>Kabupaten/Kota</t>
  </si>
  <si>
    <t>Palembang</t>
  </si>
  <si>
    <t>Beras Untuk Santri, Yatim &amp; Dhuafa</t>
  </si>
  <si>
    <t>Sukamoro</t>
  </si>
  <si>
    <t>Banyuasin</t>
  </si>
  <si>
    <t>Pemulutan</t>
  </si>
  <si>
    <t>Ogan Ilir</t>
  </si>
  <si>
    <t>Pemulutan Ulu</t>
  </si>
  <si>
    <t>Distribusi Rice Box Bubur Jolly</t>
  </si>
  <si>
    <t>Nama Lokasi Program</t>
  </si>
  <si>
    <t>TANGGAL</t>
  </si>
  <si>
    <t>KAB./KOTA</t>
  </si>
  <si>
    <t>Rice Box Dosen Unsri</t>
  </si>
  <si>
    <t>Sharing Knowledge</t>
  </si>
  <si>
    <t>Kenten</t>
  </si>
  <si>
    <t>Kenten Laut</t>
  </si>
  <si>
    <t>Social Response</t>
  </si>
  <si>
    <t>Tanah Mas</t>
  </si>
  <si>
    <t>Penyaluran PLP</t>
  </si>
  <si>
    <t>Pasar Sehat</t>
  </si>
  <si>
    <t>Palestina</t>
  </si>
  <si>
    <t>Bantuan Pendidikan Palestina</t>
  </si>
  <si>
    <t>Bantuan Pangan Palestina</t>
  </si>
  <si>
    <t>Merah Mata</t>
  </si>
  <si>
    <t>Rekap Penerima Manfaat Berdasarkan Jenis Program</t>
  </si>
  <si>
    <t>Rekap Penerima Manfaat Berdasarkan Kategori Program &amp; Titik Lokasi</t>
  </si>
  <si>
    <t>Nama Program</t>
  </si>
  <si>
    <t>Jumlah Pelaksanaan</t>
  </si>
  <si>
    <t>Jumlah PM</t>
  </si>
  <si>
    <t>PROGRAM PENDIDIKAN</t>
  </si>
  <si>
    <t>Jumlah Titik Lokasi</t>
  </si>
  <si>
    <t>Pendidikan Formal PAUD KB CERIA</t>
  </si>
  <si>
    <t>Pendidikan Formal PAUD SPS</t>
  </si>
  <si>
    <t>Rumah Tafizh Al- Amal</t>
  </si>
  <si>
    <t>Free Food Car</t>
  </si>
  <si>
    <t>TOTAL</t>
  </si>
  <si>
    <t>Beras untuk Yatim Dhufa</t>
  </si>
  <si>
    <t>PROGRAM PANGAN</t>
  </si>
  <si>
    <t>TOTAL KESELURUHAN</t>
  </si>
  <si>
    <t xml:space="preserve">PROGRAM PEMBERDAYAAN </t>
  </si>
  <si>
    <t>Program Pemberdayaan Pembuatan Keset Kaki</t>
  </si>
  <si>
    <t>PROGRAM EVENT SOSIAL</t>
  </si>
  <si>
    <t>Pelaksanaan</t>
  </si>
  <si>
    <t>Qurban Masyrakat Pedado</t>
  </si>
  <si>
    <t>REKAP SEBARAN DAMPAK PROGRAM BERDASARKAN LOKASI DARI GERAKAN KERELAWANAN</t>
  </si>
  <si>
    <t>Kab/Kota</t>
  </si>
  <si>
    <t>Negara</t>
  </si>
  <si>
    <t>Kuantitas program</t>
  </si>
  <si>
    <t>Indonesia</t>
  </si>
  <si>
    <t>Total</t>
  </si>
  <si>
    <t>Penyaluran Zakat</t>
  </si>
  <si>
    <t>Kolaborasi Nakama</t>
  </si>
  <si>
    <t>Masterpiece Project IVC</t>
  </si>
  <si>
    <t>Pengabdian Dosen</t>
  </si>
  <si>
    <t>Sasaran PM</t>
  </si>
  <si>
    <t>Anak-Anak Pinggiran</t>
  </si>
  <si>
    <t>Anak-Anak Yatim Dhuafa</t>
  </si>
  <si>
    <t>Santri Pondok Pesantren</t>
  </si>
  <si>
    <t>Santri Rumah Tahfidz</t>
  </si>
  <si>
    <t>Santri TPA/TPQ</t>
  </si>
  <si>
    <t>Lansia Pejuang Nafkah Dhuafa</t>
  </si>
  <si>
    <t>Pejuang Nafkah</t>
  </si>
  <si>
    <t>Ibu-Ibu Pejuang Nafkah</t>
  </si>
  <si>
    <t>Relawan Satu Amal Indonesia</t>
  </si>
  <si>
    <t>Siswa Sekolah</t>
  </si>
  <si>
    <t>Jama'ah Masjid</t>
  </si>
  <si>
    <t>Free Food Car Palembang Info</t>
  </si>
  <si>
    <t>Edutrip CKL</t>
  </si>
  <si>
    <t>Sultan Muda Digination Run</t>
  </si>
  <si>
    <t>Masyarakat Umum</t>
  </si>
  <si>
    <t>Segamit</t>
  </si>
  <si>
    <t>Semende Darat Ulu</t>
  </si>
  <si>
    <t>Muara Enim</t>
  </si>
  <si>
    <t>20 Ilir D-II</t>
  </si>
  <si>
    <t>Manasik Haji</t>
  </si>
  <si>
    <t>Distribusi Rice Box Ayam Geprek</t>
  </si>
  <si>
    <t>Talang Buluh</t>
  </si>
  <si>
    <t>Bantuan Pertamina</t>
  </si>
  <si>
    <t>Edutrip RYC</t>
  </si>
  <si>
    <t>Sajadah Santri</t>
  </si>
  <si>
    <t>Distribusi Nasi Pejuang Nafkah</t>
  </si>
  <si>
    <t>Clean Up Village</t>
  </si>
  <si>
    <t>Lingkungan</t>
  </si>
  <si>
    <t>Gerakan Bersih-Bersih Kota</t>
  </si>
  <si>
    <t>Tanjung Batu</t>
  </si>
  <si>
    <t>Burai</t>
  </si>
  <si>
    <t>Kampung Sungai Pedado</t>
  </si>
  <si>
    <t>RBC</t>
  </si>
  <si>
    <t>Distribusi Rice Box</t>
  </si>
  <si>
    <t>Rice Box</t>
  </si>
  <si>
    <t>Masyarakat Tunanetra</t>
  </si>
  <si>
    <t>TPA 2 Karya Jaya</t>
  </si>
  <si>
    <t>SPS</t>
  </si>
  <si>
    <t>RYC</t>
  </si>
  <si>
    <t>Distribusi Air Bersih</t>
  </si>
  <si>
    <t>Beasiswa Pendidikan BGH</t>
  </si>
  <si>
    <t>Indralaya</t>
  </si>
  <si>
    <t>Sakatiga</t>
  </si>
  <si>
    <t>Timbangan</t>
  </si>
  <si>
    <t>Indralaya Utara</t>
  </si>
  <si>
    <t>Respon Bencana (Pangan)</t>
  </si>
  <si>
    <t>Respon Bencana (Kebutuhan Sekolah)</t>
  </si>
  <si>
    <t>Respon Bencana (Bantuan Kesehatan)</t>
  </si>
  <si>
    <t xml:space="preserve">Bersih-Bersih Rumah Korban </t>
  </si>
  <si>
    <t>Bantuan Perlengkapan Sekolah</t>
  </si>
  <si>
    <t xml:space="preserve">Bantuan Snack Ceria </t>
  </si>
  <si>
    <t>Respon Bencana (Recovery)</t>
  </si>
  <si>
    <t>Bantuan Makan Sehat</t>
  </si>
  <si>
    <t xml:space="preserve">Bantuan Masker </t>
  </si>
  <si>
    <t>Supiturang</t>
  </si>
  <si>
    <t>Pronojiwo</t>
  </si>
  <si>
    <t>Lumajang</t>
  </si>
  <si>
    <t>Jawa Timur</t>
  </si>
  <si>
    <t>Oro-Oro Ombo</t>
  </si>
  <si>
    <t>Medan</t>
  </si>
  <si>
    <t>Kampung Baru</t>
  </si>
  <si>
    <t>Sumatera Utara</t>
  </si>
  <si>
    <t>Medan Maimun</t>
  </si>
  <si>
    <t>Medan Marelan</t>
  </si>
  <si>
    <t>Terjun</t>
  </si>
  <si>
    <t>Bantuan Hygiene Kit</t>
  </si>
  <si>
    <t>Paya Pasir</t>
  </si>
  <si>
    <t>Padang Tualang</t>
  </si>
  <si>
    <t>Salareh Aia Timur</t>
  </si>
  <si>
    <t>Palembayan</t>
  </si>
  <si>
    <t>Agam</t>
  </si>
  <si>
    <t>Sumatera Barat</t>
  </si>
  <si>
    <t>Sibalanga</t>
  </si>
  <si>
    <t>Adian Koting</t>
  </si>
  <si>
    <t>Tapanuli Utara</t>
  </si>
  <si>
    <t>Paya Bedi</t>
  </si>
  <si>
    <t>Rantau</t>
  </si>
  <si>
    <t>Aceh Tamiang</t>
  </si>
  <si>
    <t>Nangroe Aceh Darussalam</t>
  </si>
  <si>
    <t>Salareh Aia</t>
  </si>
  <si>
    <t>Perdamaian</t>
  </si>
  <si>
    <t>Kota Kuala Simpang</t>
  </si>
  <si>
    <t xml:space="preserve">Aceh Tamiang </t>
  </si>
  <si>
    <t>Bantuan Medis Bencana</t>
  </si>
  <si>
    <t>Kesehatan</t>
  </si>
  <si>
    <t>Karang baru</t>
  </si>
  <si>
    <t>Sekumur</t>
  </si>
  <si>
    <t>Sakerak</t>
  </si>
  <si>
    <t>Pahlawann</t>
  </si>
  <si>
    <t>Simpang Empat</t>
  </si>
  <si>
    <t>Bantuan Air Bersih</t>
  </si>
  <si>
    <t>Kota Lintang Bawah</t>
  </si>
  <si>
    <t>Khitanan Anak</t>
  </si>
  <si>
    <t>Kado Akhir Tahun</t>
  </si>
  <si>
    <t>Ruang Ceria Anak-Anak</t>
  </si>
  <si>
    <t>Balai</t>
  </si>
  <si>
    <t>Bendahara</t>
  </si>
  <si>
    <t>Kebun Rantau</t>
  </si>
  <si>
    <t>Tanjung Mancang</t>
  </si>
  <si>
    <t>Kejuruan Muda</t>
  </si>
  <si>
    <t>Benua Raja</t>
  </si>
  <si>
    <t>Baby Kit</t>
  </si>
  <si>
    <t>Tanah Berongga</t>
  </si>
  <si>
    <t>Rumah Tahfidz Al-Amal</t>
  </si>
  <si>
    <t>Payaraman</t>
  </si>
  <si>
    <t>Talang Seleman</t>
  </si>
  <si>
    <t>Respon Bencana (Bantuan Air Bersih)</t>
  </si>
  <si>
    <t>Respon Bencana (Psikososial)</t>
  </si>
  <si>
    <t>Bantuan Al-Qur'an</t>
  </si>
  <si>
    <t>Landuh</t>
  </si>
  <si>
    <t>Bantuan Family Kit</t>
  </si>
  <si>
    <t>Bantuan Tenda Keluarga</t>
  </si>
  <si>
    <t>Durian</t>
  </si>
  <si>
    <t>Bantuan Logistik Sembako</t>
  </si>
  <si>
    <t>Mekarjaya</t>
  </si>
  <si>
    <t>Bantuan Tenda</t>
  </si>
  <si>
    <t>Paya Kulbi</t>
  </si>
  <si>
    <t>Alur Cucur</t>
  </si>
  <si>
    <t>Tanah Terban</t>
  </si>
  <si>
    <t>Marlempang</t>
  </si>
  <si>
    <t>Padang Langgis</t>
  </si>
  <si>
    <t>Seruway</t>
  </si>
  <si>
    <t>Alur Manis</t>
  </si>
  <si>
    <t>Bantuan Boneka</t>
  </si>
  <si>
    <t>Bantuan Mainan</t>
  </si>
  <si>
    <t>PROGRAM RESPON BENCANA (BANTUAN AIR BERSIH)</t>
  </si>
  <si>
    <t>PROGRAM RESPON BENCANA (BANTUAN KESEHATAN)</t>
  </si>
  <si>
    <t>PROGRAM RESPON BENCANA (BANTUAN PANGAN)</t>
  </si>
  <si>
    <t>Bantuan Makanan Sehat</t>
  </si>
  <si>
    <t>Bantuan Snack Ceria</t>
  </si>
  <si>
    <t>Bantuan Ruang Ceria</t>
  </si>
  <si>
    <t>Bantuan Baby Kit</t>
  </si>
  <si>
    <t>PROGRAM RESPON BENCANA (PSIKOSOSIAL)</t>
  </si>
  <si>
    <t>PROGRAM RESPON BENCANA (RECOVERY)</t>
  </si>
  <si>
    <t>Bantuan Bersih-Bersih Rumah</t>
  </si>
  <si>
    <t>Bantuan Penyaluran PLP</t>
  </si>
  <si>
    <t>Rekap Penerima Manfaat Bencana Aceh Berdasarkan Jenis Program</t>
  </si>
  <si>
    <t>Rekap Penerima Manfaat Bencana Sumatera Utara Berdasarkan Jenis Program</t>
  </si>
  <si>
    <t>Rekap PM Bencana Sumatera Utara Berdasarkan Kategori Program &amp; Titik Lokasi</t>
  </si>
  <si>
    <t>Rekap Penerima Manfaat Bencana Sumatera Barat Berdasarkan Jenis Program</t>
  </si>
  <si>
    <t>Rekap PM Bencana Sumatera Barat Berdasarkan Kategori Program &amp; Titik Lokasi</t>
  </si>
  <si>
    <t>Rekap PM Bencana Aceh Berdasarkan Kategori Program &amp; Titik Lokasi</t>
  </si>
  <si>
    <t>Rekap Penerima Manfaat Bencana Jawa Timur Berdasarkan Jenis Program</t>
  </si>
  <si>
    <t>Rekap PM Bencana Jawa Timur Berdasarkan Kategori Program &amp; Titik Lokasi</t>
  </si>
  <si>
    <t>Bantuan Masker</t>
  </si>
  <si>
    <t>https://maps.app.goo.gl/GAUzH5M8gzbqXzxp9</t>
  </si>
  <si>
    <t>https://maps.app.goo.gl/RWuaaWqXtAopiwyCA</t>
  </si>
  <si>
    <t>Tim RTA</t>
  </si>
  <si>
    <t>Tim Paud Ceria</t>
  </si>
  <si>
    <t>https://maps.app.goo.gl/5AbkQcj4TrNB4v9B8</t>
  </si>
  <si>
    <t>PAUD KB Ceria Karya Jaya</t>
  </si>
  <si>
    <t>PAUD KB Ceria Sungai Pedado</t>
  </si>
  <si>
    <t>https://maps.app.goo.gl/uWDWDgF8z7FAXJLz5</t>
  </si>
  <si>
    <t>Bersih-Bersih Masjid</t>
  </si>
  <si>
    <t>Bantuan Mesin Air &amp; Genset</t>
  </si>
  <si>
    <t>Pantai Tinjau</t>
  </si>
  <si>
    <t>Sekerak</t>
  </si>
  <si>
    <t>Kebun Tanjung Seumantoh</t>
  </si>
  <si>
    <t>Bantuan Pembangunan Musholla Darurat</t>
  </si>
  <si>
    <t>Rongoh</t>
  </si>
  <si>
    <t>Tamiang Hulu</t>
  </si>
  <si>
    <t>Sukajadi Paya Bujuk</t>
  </si>
  <si>
    <t>Sungai Liput</t>
  </si>
  <si>
    <t>Bantuan Pembangunan Sumur Bor</t>
  </si>
  <si>
    <t>Umah Taring</t>
  </si>
  <si>
    <t>Serba Jadi</t>
  </si>
  <si>
    <t>Aceh Timur</t>
  </si>
  <si>
    <t>Lokop</t>
  </si>
  <si>
    <t>Bantuan Perlengkapan Tidur</t>
  </si>
  <si>
    <t>Bantuan Perlengkapan Ibadah</t>
  </si>
  <si>
    <t>Sekerak Kanan</t>
  </si>
  <si>
    <t>Bantuan Filter Air</t>
  </si>
  <si>
    <t>b</t>
  </si>
  <si>
    <t>Sukajadi</t>
  </si>
  <si>
    <t>Bandar Mulia</t>
  </si>
  <si>
    <t>Dalam</t>
  </si>
  <si>
    <t>KELURAHAN / DESA</t>
  </si>
  <si>
    <t>Purwodadi</t>
  </si>
  <si>
    <t>Tanjung Seumantoh</t>
  </si>
  <si>
    <t>Bantuan Tedmond Air</t>
  </si>
  <si>
    <t>Sampaimah</t>
  </si>
  <si>
    <t>Manyak Payed</t>
  </si>
  <si>
    <t>Alur Tani I</t>
  </si>
  <si>
    <t>Sri mulya</t>
  </si>
  <si>
    <t>Bantuan Pengajaran Agama</t>
  </si>
  <si>
    <t>Bandar Mahligai</t>
  </si>
  <si>
    <t>Alur Nunang</t>
  </si>
  <si>
    <t>Peringatan Isra' Mi'raj</t>
  </si>
  <si>
    <t>Blang Kandis</t>
  </si>
  <si>
    <t>Bandar Pusaka</t>
  </si>
  <si>
    <t>Bantuan Bersih-Bersih Masjid</t>
  </si>
  <si>
    <t>Bantuan Filter Air bersih</t>
  </si>
  <si>
    <t>Bantuan Al-Qur'an &amp; Iqra'</t>
  </si>
  <si>
    <t>Rekap Impelementasi Program Satu Amal Indonesia Bulan Februari 2026</t>
  </si>
  <si>
    <t>https://maps.app.goo.gl/Sua1CEAmB6KFuSZt6</t>
  </si>
  <si>
    <t>CF</t>
  </si>
  <si>
    <t>https://maps.app.goo.gl/yeGSvzZ2T4tbFix89</t>
  </si>
  <si>
    <t>https://maps.app.goo.gl/65px8k8syG1SNhYD9</t>
  </si>
  <si>
    <t>Kampung Sungai Ijuk</t>
  </si>
  <si>
    <t>CKL</t>
  </si>
  <si>
    <t>Rumah Susun Palembang</t>
  </si>
  <si>
    <t>Sekretariat Satu Amal Indonesia</t>
  </si>
  <si>
    <t>Aufa &amp; Tim</t>
  </si>
  <si>
    <t>https://maps.app.goo.gl/92tCxkaX9JQokzps9</t>
  </si>
  <si>
    <t>https://maps.app.goo.gl/qYagXQrB2ivjmqL58</t>
  </si>
  <si>
    <t>https://maps.app.goo.gl/iuBGsozAXz1ZcqFw9</t>
  </si>
  <si>
    <t>Ponpes Al-Islah Putra</t>
  </si>
  <si>
    <t>https://maps.app.goo.gl/iSjQqyHnWSGNdpWH6</t>
  </si>
  <si>
    <t>TPA Al-Fattah</t>
  </si>
  <si>
    <t>Nasi Prasmanan</t>
  </si>
  <si>
    <t>Nasi Bungkus</t>
  </si>
  <si>
    <t>Program Tangan Ibu</t>
  </si>
  <si>
    <t>Tangan Ibu</t>
  </si>
  <si>
    <t>Kampung Sungai Pedado Kelas Bencana</t>
  </si>
  <si>
    <t>Kak Bahrul</t>
  </si>
  <si>
    <t>https://maps.app.goo.gl/oS5p7pd4FsRLsxKn8</t>
  </si>
  <si>
    <t>https://maps.app.goo.gl/QsKHRhonD7RcCb5a6</t>
  </si>
  <si>
    <t>Masjid Nurhidayah Tarhib Ramadhan</t>
  </si>
  <si>
    <t>Panti Asuhan Peduli Anak yatim</t>
  </si>
  <si>
    <t>Masyarakat Kampung Sungai Pedado</t>
  </si>
  <si>
    <t>Air Bersih 7000 Liter</t>
  </si>
  <si>
    <t>Intan &amp; Tim Kolab</t>
  </si>
  <si>
    <t>https://maps.app.goo.gl/MbeCAhuuMa343dPP7</t>
  </si>
  <si>
    <t>Kampung Tunanetra</t>
  </si>
  <si>
    <t>https://maps.app.goo.gl/5JZnvHGSpPSLjmEP9</t>
  </si>
  <si>
    <t>TPA Ghaniyum Hamid</t>
  </si>
  <si>
    <t>https://maps.app.goo.gl/2Bq1BUfqtoPkNF5p9</t>
  </si>
  <si>
    <t>Pondok Pesantren Al-Umar</t>
  </si>
  <si>
    <t>200 Kg Beras</t>
  </si>
  <si>
    <t>https://maps.app.goo.gl/9PxiL47zAUeEVv3M9</t>
  </si>
  <si>
    <t>Taman Kambang Iwak</t>
  </si>
  <si>
    <t>https://maps.app.goo.gl/bKdrEwqYxiqxGkZU6</t>
  </si>
  <si>
    <t>Lokasi Kebakaran Jalan Abi Kusno Cokro Suyoso</t>
  </si>
  <si>
    <t>Tim Disaster</t>
  </si>
  <si>
    <t>Pakaian Layak Pakai</t>
  </si>
  <si>
    <t>Sembako</t>
  </si>
  <si>
    <t>Depan Rumah Walikota</t>
  </si>
  <si>
    <t>Gathering Relawan</t>
  </si>
  <si>
    <t>Beras Fidyah</t>
  </si>
  <si>
    <t>215 Kg Beras</t>
  </si>
  <si>
    <t>Tim VED</t>
  </si>
  <si>
    <t>Kampung 10 Ulu</t>
  </si>
  <si>
    <t>150 Kg Beras</t>
  </si>
  <si>
    <t>https://maps.app.goo.gl/zvokjmYZoj4KLSKq9</t>
  </si>
  <si>
    <t>Kampung Muara Penimbung</t>
  </si>
  <si>
    <t>Muara Penimbung Ilir</t>
  </si>
  <si>
    <t>35 Kg Beras</t>
  </si>
  <si>
    <t>Kak Arjuna</t>
  </si>
  <si>
    <t>Berbagi Sahur</t>
  </si>
  <si>
    <t>Nasi Kotak</t>
  </si>
  <si>
    <t>Tim Charity</t>
  </si>
  <si>
    <t>https://maps.app.goo.gl/KxcgZNth3f3687YK9</t>
  </si>
  <si>
    <t>Kota Palembang</t>
  </si>
  <si>
    <t>Berbagi Buka Puasa</t>
  </si>
  <si>
    <t>https://maps.app.goo.gl/TsRZyQkQNHUJ1Ged8</t>
  </si>
  <si>
    <t>Tepian Sungai Musi</t>
  </si>
  <si>
    <t>Berbagi Takjil</t>
  </si>
  <si>
    <t>Danesh &amp; Tim</t>
  </si>
  <si>
    <t>Masjid Clean Up &amp; Air Mineral Masjid</t>
  </si>
  <si>
    <t>https://maps.app.goo.gl/Eq7umZYdkwsVKL8N9</t>
  </si>
  <si>
    <t>Masjid Al-Ghazali</t>
  </si>
  <si>
    <t>Clean Up &amp; Air Mineral</t>
  </si>
  <si>
    <t>Tim Marketing</t>
  </si>
  <si>
    <t>https://maps.app.goo.gl/a4wTiDcfzvjaZAdU9</t>
  </si>
  <si>
    <t>Masjid Al-Fattah</t>
  </si>
  <si>
    <t>https://maps.app.goo.gl/Zz1QwfkGMXXqQRkDA</t>
  </si>
  <si>
    <t>Masjid Al-Munawaroh</t>
  </si>
  <si>
    <t>https://maps.app.goo.gl/nXHZKQw462MCLxcTA</t>
  </si>
  <si>
    <t>Masjid Baitul 'Atiq</t>
  </si>
  <si>
    <t>https://maps.app.goo.gl/4zGjcDQXeMAUQP2z7</t>
  </si>
  <si>
    <t>Masyarakat Kampung Sungai Ijuk</t>
  </si>
  <si>
    <t>https://maps.app.goo.gl/QxCPZ3NEfiwRHzBi7</t>
  </si>
  <si>
    <t>TPA Al-Ikhlas</t>
  </si>
  <si>
    <t>Talang Aur</t>
  </si>
  <si>
    <t>Al-Qur'an</t>
  </si>
  <si>
    <t>https://maps.app.goo.gl/9ffVHBn1LDXNoof37</t>
  </si>
  <si>
    <t>Rumah PM Beasiswa Ilham</t>
  </si>
  <si>
    <t>Rumah PM Beasiswa Ulfa</t>
  </si>
  <si>
    <t>https://maps.app.goo.gl/ZvGFRMUVkM5oiD8N6</t>
  </si>
  <si>
    <t>Rumah PM Beasiswa M. Aldo Ramadhan</t>
  </si>
  <si>
    <t>https://maps.app.goo.gl/YHn1HHRAgKTjgosb6</t>
  </si>
  <si>
    <t>Rumah PM Beasiswa M. Ghani</t>
  </si>
  <si>
    <t>https://maps.app.goo.gl/5iR25WBYRsxqYYpR6</t>
  </si>
  <si>
    <t>Rumah PM Beasiswa Bian</t>
  </si>
  <si>
    <t>Rumah PM Beasiswa Nasya</t>
  </si>
  <si>
    <t>https://maps.app.goo.gl/6oBoDGJ6ArCvWY13A</t>
  </si>
  <si>
    <t>Rumah PM Beasiswa M. Aldo Rizki</t>
  </si>
  <si>
    <t>https://maps.app.goo.gl/geoxtE2SjHQk8BAn6</t>
  </si>
  <si>
    <t>Rumah PM Beasiswa Dea</t>
  </si>
  <si>
    <t>https://maps.app.goo.gl/QPHF2pe5MDfx4gi56</t>
  </si>
  <si>
    <t>Rumah PM Beasiswa Hikmah Aliyah</t>
  </si>
  <si>
    <t>https://maps.app.goo.gl/CchY8VuWzTnTFN4i7</t>
  </si>
  <si>
    <t>Rumah PM Beasiswa Eca Silvi</t>
  </si>
  <si>
    <t>Rumah PM Beasiswa Riska</t>
  </si>
  <si>
    <t>Beasiswa Pendidikan</t>
  </si>
  <si>
    <t>Lutfi &amp; Adis</t>
  </si>
  <si>
    <t>Fadhil &amp; Iyan</t>
  </si>
  <si>
    <t>Ocha &amp; Juniar</t>
  </si>
  <si>
    <t>Fahrezi &amp; Beryl</t>
  </si>
  <si>
    <t>Masjid Ar-Ra'iyah</t>
  </si>
  <si>
    <t>https://maps.app.goo.gl/cHw9dNokUDRqEgNi6</t>
  </si>
  <si>
    <t>https://maps.app.goo.gl/6eu58pz62zTBULKa9</t>
  </si>
  <si>
    <t>Masjid Nurul Iman, Desa Tanjung Mancang</t>
  </si>
  <si>
    <t>Dusun Durian Delapan, Desa Sekerak Kanan</t>
  </si>
  <si>
    <t>Desa Alur Cucur</t>
  </si>
  <si>
    <t>pendidikan</t>
  </si>
  <si>
    <t>Perlengkapan Sekolah</t>
  </si>
  <si>
    <t>1 Box Masker</t>
  </si>
  <si>
    <t>Bantuan Buku &amp; Iqra'</t>
  </si>
  <si>
    <t>Pembangunan Sumur Bor</t>
  </si>
  <si>
    <t>https://maps.app.goo.gl/pkqEEersFw1PVcw46</t>
  </si>
  <si>
    <t>https://maps.app.goo.gl/WMcHssRrSHopYing7</t>
  </si>
  <si>
    <t>Pondok Pesantren Azizah Darussalam</t>
  </si>
  <si>
    <t>Pondok Pesantren Ar-Rohman</t>
  </si>
  <si>
    <t>Pondok Pesantren Tidjarotul Lantabur</t>
  </si>
  <si>
    <t>Pondok Pesantren Assanadiyah</t>
  </si>
  <si>
    <t>https://maps.app.goo.gl/Ge9w7ARTLkNYwkUo9</t>
  </si>
  <si>
    <t>50 Kg Beras</t>
  </si>
  <si>
    <t>https://maps.app.goo.gl/4BA9a4so7xS8egRE8</t>
  </si>
  <si>
    <t>60 Kg Beras</t>
  </si>
  <si>
    <t>https://maps.app.goo.gl/7haKeQcuP1zwfLse9</t>
  </si>
  <si>
    <t>https://maps.app.goo.gl/XVkrY3v5ZaZZFyAE9</t>
  </si>
  <si>
    <t>70 Kg Beras</t>
  </si>
  <si>
    <t>https://maps.app.goo.gl/VjaNTBX1mgBqntVu6</t>
  </si>
  <si>
    <t>Rumah Quran AbalKhoir</t>
  </si>
  <si>
    <t>Tanjung Seteko</t>
  </si>
  <si>
    <t>Pesantren Ramadhan</t>
  </si>
  <si>
    <t>Event Pesantren</t>
  </si>
  <si>
    <t>Tim Pesantren</t>
  </si>
  <si>
    <t>https://maps.app.goo.gl/Nw9hbzNZ3QUGnDWR8</t>
  </si>
  <si>
    <t>Masjid Al-Fatah</t>
  </si>
  <si>
    <t>https://maps.app.goo.gl/1iBbYpyF8UcHGVdv6</t>
  </si>
  <si>
    <t>https://maps.app.goo.gl/J5p9mv9xNuHc4gG8A</t>
  </si>
  <si>
    <t>Pondok Pesantren Tahfidz Nurul Quran</t>
  </si>
  <si>
    <t>https://maps.app.goo.gl/MtyGf3abo15Psz4f6</t>
  </si>
  <si>
    <t>Masyarakat TPA 2 Karya Jaya</t>
  </si>
  <si>
    <t>https://maps.app.goo.gl/Ws4Jy1KjDbGwRLGF7</t>
  </si>
  <si>
    <t>SD IT Al-Ahya Mariana</t>
  </si>
  <si>
    <t>Sungai Kedukan</t>
  </si>
  <si>
    <t>Rambutan</t>
  </si>
  <si>
    <t>https://maps.app.goo.gl/nVuhdK8wcX3pXJ6GA</t>
  </si>
  <si>
    <t>Masjid As-Sa'adah</t>
  </si>
  <si>
    <t>Belanja Santri</t>
  </si>
  <si>
    <t>https://maps.app.goo.gl/errPKUUoU6kZTGxq8</t>
  </si>
  <si>
    <t>TPA Andriani</t>
  </si>
  <si>
    <t>Ponpes Al-Islah Putra &amp; Indogrosir</t>
  </si>
  <si>
    <t>Belanja Bareng</t>
  </si>
  <si>
    <t>https://maps.app.goo.gl/Q18pi6JMKM4WMuEFA</t>
  </si>
  <si>
    <t>https://maps.app.goo.gl/urfE5GtHedeXjmfz9</t>
  </si>
  <si>
    <t>Ulak Bedil</t>
  </si>
  <si>
    <t>Desa Ulak Bedil</t>
  </si>
  <si>
    <t>Ulak bedil</t>
  </si>
  <si>
    <t>SD Negeri 11 Palembang</t>
  </si>
  <si>
    <t>https://maps.app.goo.gl/cu8h5DVC7wSS95uEA</t>
  </si>
  <si>
    <t>Simpang Dunking Donat</t>
  </si>
  <si>
    <t>Madrasah Ibtidaiyah Azharyah Palembang</t>
  </si>
  <si>
    <t>https://maps.app.goo.gl/GXUUKCdHzG4JPwtk9</t>
  </si>
  <si>
    <t>Aufa &amp; Tim CKL</t>
  </si>
  <si>
    <t>Hadiah Sembako Sambut Ramadhan</t>
  </si>
  <si>
    <t>Beasiswa Generasi Harapan Yatim Dhuafa</t>
  </si>
  <si>
    <t>PROGRAM LINGKUNGAN</t>
  </si>
  <si>
    <t>PROGRAM SYIAR &amp; DAKWAH</t>
  </si>
  <si>
    <t>Nama Kelurahan</t>
  </si>
  <si>
    <t>Resapan Kelurahan</t>
  </si>
  <si>
    <t>Kuantitas</t>
  </si>
  <si>
    <t>Rekap Sebaran Februari</t>
  </si>
  <si>
    <t>Lokasi Program</t>
  </si>
  <si>
    <t>Sasaran</t>
  </si>
  <si>
    <t>Kota Palembang, Demang</t>
  </si>
  <si>
    <t>Kota Palembang, Pakjo</t>
  </si>
  <si>
    <t>Kota Palembang, Soedirman</t>
  </si>
  <si>
    <t>Kota Palembang, Bukit</t>
  </si>
  <si>
    <t>Kota Palembang, Basuki Rahmat</t>
  </si>
  <si>
    <t>Kota Palembang, Simpang Polda</t>
  </si>
  <si>
    <t>Kota Palembang, Seberang Ulu</t>
  </si>
  <si>
    <t>Masjid Al-Fattah, Sekip</t>
  </si>
  <si>
    <t>Masjid Al-Fattah, Simpang Sekip</t>
  </si>
  <si>
    <t>Sekretariat Satu Amal Indonesia, Lunjuk</t>
  </si>
  <si>
    <t>Data Titik Lokasi Serapan Februari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</si>
</sst>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6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5" xfId="0" applyBorder="1"/>
    <xf numFmtId="0" fontId="7" fillId="2" borderId="1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2" fillId="0" borderId="15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top" wrapText="1"/>
    </xf>
    <xf numFmtId="0" fontId="12" fillId="0" borderId="0" xfId="0" applyFont="1"/>
    <xf numFmtId="0" fontId="12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15" xfId="0" applyBorder="1" applyAlignment="1">
      <alignment horizontal="left" wrapText="1"/>
    </xf>
    <xf numFmtId="0" fontId="7" fillId="0" borderId="2" xfId="0" applyFont="1" applyBorder="1" applyAlignment="1">
      <alignment horizontal="center"/>
    </xf>
    <xf numFmtId="0" fontId="12" fillId="0" borderId="14" xfId="0" applyFont="1" applyBorder="1" applyAlignment="1">
      <alignment horizontal="left" wrapText="1"/>
    </xf>
    <xf numFmtId="0" fontId="0" fillId="0" borderId="5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13" fillId="0" borderId="0" xfId="0" applyFont="1" applyAlignment="1">
      <alignment horizontal="center"/>
    </xf>
    <xf numFmtId="0" fontId="0" fillId="0" borderId="15" xfId="0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5" fillId="0" borderId="1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5" fillId="0" borderId="1" xfId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0" xfId="0" applyFont="1" applyBorder="1"/>
    <xf numFmtId="0" fontId="1" fillId="0" borderId="5" xfId="0" applyFont="1" applyBorder="1"/>
    <xf numFmtId="0" fontId="0" fillId="0" borderId="5" xfId="0" applyBorder="1" applyAlignment="1">
      <alignment horizontal="left" vertical="center"/>
    </xf>
    <xf numFmtId="0" fontId="8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0" xfId="0" applyFont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0" fillId="0" borderId="1" xfId="0" applyBorder="1" applyAlignment="1">
      <alignment horizontal="left" vertical="top" wrapText="1"/>
    </xf>
    <xf numFmtId="0" fontId="12" fillId="0" borderId="1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20" fillId="0" borderId="2" xfId="0" applyFont="1" applyBorder="1" applyAlignment="1">
      <alignment horizontal="left"/>
    </xf>
    <xf numFmtId="0" fontId="21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wrapText="1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9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87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0" formatCode="General"/>
      <fill>
        <patternFill patternType="none"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ill>
        <patternFill patternType="none">
          <bgColor auto="1"/>
        </patternFill>
      </fill>
      <border outline="0">
        <left style="thin">
          <color indexed="64"/>
        </left>
      </border>
    </dxf>
    <dxf>
      <fill>
        <patternFill patternType="none">
          <bgColor auto="1"/>
        </patternFill>
      </fill>
      <alignment horizontal="center" textRotation="0" indent="0" justifyLastLine="0" shrinkToFit="0" readingOrder="0"/>
      <border outline="0">
        <left style="thin">
          <color indexed="64"/>
        </left>
      </border>
    </dxf>
    <dxf>
      <fill>
        <patternFill patternType="none">
          <bgColor auto="1"/>
        </patternFill>
      </fill>
      <alignment horizontal="left" textRotation="0" indent="0" justifyLastLine="0" shrinkToFit="0" readingOrder="0"/>
      <border outline="0">
        <right style="thin">
          <color indexed="64"/>
        </right>
      </border>
    </dxf>
    <dxf>
      <fill>
        <patternFill patternType="none">
          <bgColor auto="1"/>
        </patternFill>
      </fill>
      <border outline="0">
        <right style="thin">
          <color indexed="64"/>
        </right>
      </border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z val="12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vertical="center" textRotation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D4A9A-ABCF-4569-B97A-1B18EC6943D9}" name="Table1" displayName="Table1" ref="B4:O137" totalsRowShown="0" headerRowDxfId="266" dataDxfId="264" headerRowBorderDxfId="265" tableBorderDxfId="263" totalsRowBorderDxfId="262">
  <autoFilter ref="B4:O137" xr:uid="{8C3D4A9A-ABCF-4569-B97A-1B18EC6943D9}"/>
  <sortState xmlns:xlrd2="http://schemas.microsoft.com/office/spreadsheetml/2017/richdata2" ref="B5:O137">
    <sortCondition ref="C4:C137"/>
  </sortState>
  <tableColumns count="14">
    <tableColumn id="1" xr3:uid="{CA2A1646-F9DD-4E0D-B4B8-DBB631EE6BF2}" name="NO" dataDxfId="261">
      <calculatedColumnFormula>IF(Table1[[#This Row],[TANGGAL]]="","",ROW(N1))</calculatedColumnFormula>
    </tableColumn>
    <tableColumn id="2" xr3:uid="{DC0F99CE-0493-41DF-8597-B588A6129EBF}" name="TANGGAL" dataDxfId="260"/>
    <tableColumn id="3" xr3:uid="{3CF7B29E-8E9A-4752-A3B4-7147ED1A8680}" name="NAMA PROGRAM" dataDxfId="259"/>
    <tableColumn id="4" xr3:uid="{CC5786EB-4078-4086-9743-28C503E2EF0F}" name="KATEGORI PROGRAM" dataDxfId="258">
      <calculatedColumnFormula>INDEX(Table5[KATEGORI PROGRAM],MATCH(Table1[[#This Row],[NAMA PROGRAM]],Table5[NAMA PROGRAM],0))</calculatedColumnFormula>
    </tableColumn>
    <tableColumn id="7" xr3:uid="{199BF700-95D6-4EA1-9849-CD40DC65676C}" name="TITIK MAPS" dataDxfId="257"/>
    <tableColumn id="13" xr3:uid="{09F2370F-33EE-4597-9D37-7538296F213A}" name="Nama Lokasi Program" dataDxfId="256"/>
    <tableColumn id="5" xr3:uid="{4F85B288-174F-4BD7-A77A-61A2569286D2}" name="KELURAHAN / DESA" dataDxfId="255"/>
    <tableColumn id="11" xr3:uid="{B4DBA286-0907-47AD-8F56-9B9BED9F575C}" name="KECAMATAN" dataDxfId="254">
      <calculatedColumnFormula>INDEX(Table2[Kecamatan],MATCH(Table1[[#This Row],[KELURAHAN / DESA]],Table2[Kelurahan],0))</calculatedColumnFormula>
    </tableColumn>
    <tableColumn id="10" xr3:uid="{B565D24E-744C-4918-BFB6-2598F6025239}" name="KAB./KOTA" dataDxfId="253">
      <calculatedColumnFormula>INDEX(Table2[Kabupaten/Kota],MATCH(Table1[[#This Row],[KECAMATAN]],Table2[Kecamatan],0))</calculatedColumnFormula>
    </tableColumn>
    <tableColumn id="12" xr3:uid="{E8EF9F54-BEE4-4C6D-899A-E7E04F974D44}" name="PROVINSI" dataDxfId="252">
      <calculatedColumnFormula>INDEX(Table2[Provinsi],MATCH(Table1[[#This Row],[KAB./KOTA]],Table2[Kabupaten/Kota],0))</calculatedColumnFormula>
    </tableColumn>
    <tableColumn id="6" xr3:uid="{E1D4CCF8-1124-4789-A587-020E7377EA12}" name="JUMLAH PM" dataDxfId="251"/>
    <tableColumn id="9" xr3:uid="{E8356213-EC58-44FA-B674-54D99131C7C3}" name="BENTUK BANTUAN" dataDxfId="250"/>
    <tableColumn id="8" xr3:uid="{6CDB8469-5EE4-4463-94A5-B59B238839BB}" name="PJ TIM" dataDxfId="249"/>
    <tableColumn id="14" xr3:uid="{7FE6B209-79B4-48DF-88F7-FAAA18860FE0}" name="Sasaran PM" dataDxfId="24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31C5DF-1E9D-4DD3-9D48-D08C4B08A5B9}" name="Table14" displayName="Table14" ref="G4:J13" totalsRowShown="0" headerRowDxfId="247" headerRowBorderDxfId="246" tableBorderDxfId="245" totalsRowBorderDxfId="244">
  <autoFilter ref="G4:J13" xr:uid="{D631C5DF-1E9D-4DD3-9D48-D08C4B08A5B9}"/>
  <tableColumns count="4">
    <tableColumn id="1" xr3:uid="{4E9D14AA-ED5C-43A9-B103-427721A99EED}" name="PROGRAM PENDIDIKAN" dataDxfId="243"/>
    <tableColumn id="2" xr3:uid="{6FAFEF02-A8D2-4C0D-A7E0-A4A6E4E6ED52}" name="Pelaksanaan" dataDxfId="242"/>
    <tableColumn id="3" xr3:uid="{06D4FD6C-8121-41A5-B1AA-D3C869905420}" name="Jumlah PM" dataDxfId="241"/>
    <tableColumn id="4" xr3:uid="{A40AEC66-1FC0-41F9-99C1-5440873B1B4A}" name="Jumlah Titik Lokasi" dataDxfId="2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40E78A8-244A-4DC6-9E22-9D88ABA6C115}" name="Table25" displayName="Table25" ref="G15:J24" totalsRowShown="0" headerRowDxfId="239" headerRowBorderDxfId="238" tableBorderDxfId="237" totalsRowBorderDxfId="236">
  <autoFilter ref="G15:J24" xr:uid="{F40E78A8-244A-4DC6-9E22-9D88ABA6C115}"/>
  <tableColumns count="4">
    <tableColumn id="1" xr3:uid="{3FFD7ECF-9429-4C78-AA48-4FD1C4AAA01D}" name="PROGRAM PANGAN" dataDxfId="235"/>
    <tableColumn id="2" xr3:uid="{ACF6D071-960F-4293-9CBF-BA1C40E12225}" name="Pelaksanaan" dataDxfId="234"/>
    <tableColumn id="3" xr3:uid="{44489975-4147-4ED8-81C7-6FCC3DBDDBD9}" name="Jumlah PM" dataDxfId="233"/>
    <tableColumn id="4" xr3:uid="{CE2B0F2B-A09F-4A07-80DE-9B9B51134F6E}" name="Jumlah Titik Lokasi" dataDxfId="23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9413B87-07BE-4D71-BC89-2BC425E66338}" name="Table3" displayName="Table3" ref="G26:J27" totalsRowShown="0" headerRowDxfId="231" headerRowBorderDxfId="230" tableBorderDxfId="229" totalsRowBorderDxfId="228">
  <autoFilter ref="G26:J27" xr:uid="{69413B87-07BE-4D71-BC89-2BC425E66338}"/>
  <tableColumns count="4">
    <tableColumn id="1" xr3:uid="{6A34EE66-335F-433F-96CC-9F07CCE4DFF5}" name="PROGRAM PEMBERDAYAAN " dataDxfId="227"/>
    <tableColumn id="2" xr3:uid="{AE33D9EE-3EE9-4BB3-8B29-E87D48ED8431}" name="Pelaksanaan" dataDxfId="226"/>
    <tableColumn id="3" xr3:uid="{58EE7429-296A-4FC3-8213-157B529DF573}" name="Jumlah PM" dataDxfId="225"/>
    <tableColumn id="4" xr3:uid="{82CABDD2-990A-46C6-98B1-F81984333C98}" name="Jumlah Titik Lokasi" dataDxfId="2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DD78F6-E77C-4667-9EE8-5BE7E9D99D4A}" name="Table4" displayName="Table4" ref="G29:J33" totalsRowShown="0" headerRowDxfId="223" headerRowBorderDxfId="222" tableBorderDxfId="221" totalsRowBorderDxfId="220">
  <autoFilter ref="G29:J33" xr:uid="{B2DD78F6-E77C-4667-9EE8-5BE7E9D99D4A}"/>
  <tableColumns count="4">
    <tableColumn id="1" xr3:uid="{405DCB4B-4A87-4FAF-BC8B-87409635E6D9}" name="PROGRAM EVENT SOSIAL"/>
    <tableColumn id="2" xr3:uid="{93085146-072F-4C90-9242-4C78ECBC847F}" name="Pelaksanaan" dataDxfId="219">
      <calculatedColumnFormula>SUM(H27:H29)</calculatedColumnFormula>
    </tableColumn>
    <tableColumn id="3" xr3:uid="{6D3F1592-8E4D-4982-8B03-229DBCFF148E}" name="Jumlah PM"/>
    <tableColumn id="4" xr3:uid="{CCA8C113-5E90-4516-8EEF-DFECCF263993}" name="Jumlah Titik Lokasi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412272C-4485-4866-94BE-A72664BB283A}" name="Table12" displayName="Table12" ref="B4:E33" totalsRowShown="0" headerRowDxfId="218" dataDxfId="216" headerRowBorderDxfId="217" tableBorderDxfId="215">
  <autoFilter ref="B4:E33" xr:uid="{A412272C-4485-4866-94BE-A72664BB283A}"/>
  <tableColumns count="4">
    <tableColumn id="1" xr3:uid="{9D0AD769-1098-4DB2-B0FE-24E780B70119}" name="No" dataDxfId="214">
      <calculatedColumnFormula>IF(Table12[[#Headers],[Nama Program]]="","",ROW(F1))</calculatedColumnFormula>
    </tableColumn>
    <tableColumn id="2" xr3:uid="{FE5FD35B-660E-42AC-850C-6F00F349A1B2}" name="Nama Program" dataDxfId="213"/>
    <tableColumn id="3" xr3:uid="{D9A3D539-9853-4E00-BCA0-D645EBBF5C0C}" name="Jumlah Pelaksanaan" dataDxfId="212"/>
    <tableColumn id="4" xr3:uid="{C94FBEA9-A7A2-4E4D-8A3B-56364AD1C0A4}" name="Jumlah PM" dataDxfId="211"/>
  </tableColumns>
  <tableStyleInfo name="TableStyleLight2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7F5F9A4-3851-48CF-A334-DABBFE5D58F8}" name="Table51011" displayName="Table51011" ref="G35:J37" totalsRowShown="0" headerRowDxfId="210" headerRowBorderDxfId="209" tableBorderDxfId="208" totalsRowBorderDxfId="207">
  <autoFilter ref="G35:J37" xr:uid="{A7F5F9A4-3851-48CF-A334-DABBFE5D58F8}"/>
  <tableColumns count="4">
    <tableColumn id="1" xr3:uid="{4B3A151F-F2B2-4863-93C0-35CC0CD78F1D}" name="PROGRAM LINGKUNGAN" dataDxfId="206"/>
    <tableColumn id="2" xr3:uid="{80DFB52A-86D6-4EC7-8DDC-ECE1249CB4A3}" name="Pelaksanaan" dataDxfId="205"/>
    <tableColumn id="3" xr3:uid="{DF47EBD1-71AB-4584-BE00-D81143666216}" name="Jumlah PM" dataDxfId="204"/>
    <tableColumn id="4" xr3:uid="{0CEB0906-16BB-489F-8421-06B922286DD0}" name="Jumlah Titik Lokasi" dataDxfId="20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7AD4BEB-4EAF-40ED-BEFD-2B27BF816CFE}" name="Table5101115" displayName="Table5101115" ref="G39:J41" totalsRowShown="0" headerRowDxfId="202" headerRowBorderDxfId="201" tableBorderDxfId="200" totalsRowBorderDxfId="199">
  <autoFilter ref="G39:J41" xr:uid="{17AD4BEB-4EAF-40ED-BEFD-2B27BF816CFE}"/>
  <tableColumns count="4">
    <tableColumn id="1" xr3:uid="{9A54CCD5-7B76-4EC3-ACAD-AF301FF69306}" name="PROGRAM RESPON BENCANA (BANTUAN KESEHATAN)" dataDxfId="198"/>
    <tableColumn id="2" xr3:uid="{85F50ABF-CB3D-437B-95B5-DF48E592EB94}" name="Pelaksanaan" dataDxfId="197"/>
    <tableColumn id="3" xr3:uid="{2EBED7B7-F9F5-451D-88AC-D27C86A45B76}" name="Jumlah PM" dataDxfId="196"/>
    <tableColumn id="4" xr3:uid="{12FE695C-E9F5-4DBE-B158-ADC2364C964F}" name="Jumlah Titik Lokasi" dataDxfId="195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FEBC258-F7D7-41FD-8ED1-5750B40203AA}" name="Table510111516" displayName="Table510111516" ref="G43:J45" totalsRowShown="0" headerRowDxfId="194" headerRowBorderDxfId="193" tableBorderDxfId="192" totalsRowBorderDxfId="191">
  <autoFilter ref="G43:J45" xr:uid="{6FEBC258-F7D7-41FD-8ED1-5750B40203AA}"/>
  <tableColumns count="4">
    <tableColumn id="1" xr3:uid="{C3CE1F9D-C625-4E4C-A51B-9F7A7171DB08}" name="PROGRAM RESPON BENCANA (BANTUAN PANGAN)" dataDxfId="190"/>
    <tableColumn id="2" xr3:uid="{6E4E8289-3379-4298-B745-E2BC3961535B}" name="Pelaksanaan" dataDxfId="189"/>
    <tableColumn id="3" xr3:uid="{DA8A4E4C-AABB-4DAD-888A-0EC382A0FD06}" name="Jumlah PM" dataDxfId="188"/>
    <tableColumn id="4" xr3:uid="{0BC6D0FB-DCEA-46AF-8D00-FB32F666C80B}" name="Jumlah Titik Lokasi" dataDxfId="1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2F6C532-AF03-4B1C-95C5-655A7DCF7428}" name="Table51011151617" displayName="Table51011151617" ref="G47:J52" totalsRowShown="0" headerRowDxfId="186" headerRowBorderDxfId="185" tableBorderDxfId="184" totalsRowBorderDxfId="183">
  <autoFilter ref="G47:J52" xr:uid="{E2F6C532-AF03-4B1C-95C5-655A7DCF7428}"/>
  <tableColumns count="4">
    <tableColumn id="1" xr3:uid="{8BEB9E34-849A-4137-8458-B7AB839F5D8B}" name="PROGRAM RESPON BENCANA (RECOVERY)" dataDxfId="182"/>
    <tableColumn id="2" xr3:uid="{8CE51D0C-5870-446F-86FA-3A7DF12F33C8}" name="Pelaksanaan" dataDxfId="181"/>
    <tableColumn id="3" xr3:uid="{47F1B611-12B3-4439-9D47-188B40C55136}" name="Jumlah PM" dataDxfId="180"/>
    <tableColumn id="4" xr3:uid="{7536AC27-B36A-42F2-9DFB-E90D67B37D32}" name="Jumlah Titik Lokasi" dataDxfId="17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7876D07-8A33-452A-8176-89B4897ACE77}" name="Table5101115161718" displayName="Table5101115161718" ref="G54:J57" totalsRowShown="0" headerRowDxfId="178" headerRowBorderDxfId="177" tableBorderDxfId="176" totalsRowBorderDxfId="175">
  <autoFilter ref="G54:J57" xr:uid="{C7876D07-8A33-452A-8176-89B4897ACE77}"/>
  <tableColumns count="4">
    <tableColumn id="1" xr3:uid="{21C3D0BF-E4A2-4D2F-BFAB-DD64DDDF3176}" name="PROGRAM SYIAR &amp; DAKWAH" dataDxfId="174"/>
    <tableColumn id="2" xr3:uid="{999D826F-A5A5-44B7-82CA-F42BF02EBC9D}" name="Pelaksanaan" dataDxfId="173"/>
    <tableColumn id="3" xr3:uid="{73F74BC6-C23F-44D1-890B-6EC6B6808F13}" name="Jumlah PM" dataDxfId="172"/>
    <tableColumn id="4" xr3:uid="{E0B2ACE3-32C2-4CAB-82F6-BEA6A08DE8DA}" name="Jumlah Titik Lokasi" dataDxfId="17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4B67F28-7C15-4AAA-A69F-A1B48C2457A5}" name="Table122410" displayName="Table122410" ref="B4:E29" totalsRowShown="0" headerRowDxfId="170" dataDxfId="168" headerRowBorderDxfId="169" tableBorderDxfId="167">
  <autoFilter ref="B4:E29" xr:uid="{B4B67F28-7C15-4AAA-A69F-A1B48C2457A5}"/>
  <tableColumns count="4">
    <tableColumn id="1" xr3:uid="{23EA51A4-D3A9-452D-963C-D22D19CB93D5}" name="No" dataDxfId="166">
      <calculatedColumnFormula>IF(Table122410[[#Headers],[Nama Program]]="","",ROW(F1))</calculatedColumnFormula>
    </tableColumn>
    <tableColumn id="2" xr3:uid="{90B25F25-F959-4E12-B5FB-CC5662694B8B}" name="Nama Program" dataDxfId="165"/>
    <tableColumn id="3" xr3:uid="{B9210FE2-EE3C-4D57-A04D-0471762B2B26}" name="Jumlah Pelaksanaan" dataDxfId="164"/>
    <tableColumn id="4" xr3:uid="{2C526BFE-2F71-49D6-A401-2796E0849C72}" name="Jumlah PM" dataDxfId="163"/>
  </tableColumns>
  <tableStyleInfo name="TableStyleLight20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D2EF670-BC8F-48DE-AFBF-5E7CE88519CD}" name="Table510112537" displayName="Table510112537" ref="C38:E41" totalsRowShown="0" headerRowDxfId="162" headerRowBorderDxfId="161" tableBorderDxfId="160" totalsRowBorderDxfId="159">
  <autoFilter ref="C38:E41" xr:uid="{7D2EF670-BC8F-48DE-AFBF-5E7CE88519CD}"/>
  <tableColumns count="3">
    <tableColumn id="1" xr3:uid="{6C77F71B-E8EB-4030-B694-86EDB85C4CA1}" name="PROGRAM RESPON BENCANA (BANTUAN AIR BERSIH)" dataDxfId="158"/>
    <tableColumn id="2" xr3:uid="{8873BC23-9B47-4861-96E7-F535DA2BB070}" name="Pelaksanaan" dataDxfId="157"/>
    <tableColumn id="3" xr3:uid="{D94268FF-505C-4501-A45A-1E0573EDE282}" name="Jumlah PM" dataDxfId="15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420413A6-1C26-4569-BB17-9F71C5283A9A}" name="Table51011152642" displayName="Table51011152642" ref="C43:E46" totalsRowShown="0" headerRowDxfId="155" headerRowBorderDxfId="154" tableBorderDxfId="153" totalsRowBorderDxfId="152">
  <autoFilter ref="C43:E46" xr:uid="{420413A6-1C26-4569-BB17-9F71C5283A9A}"/>
  <tableColumns count="3">
    <tableColumn id="1" xr3:uid="{F24536D7-8B52-4ED7-8CB8-5FD13519C337}" name="PROGRAM RESPON BENCANA (BANTUAN KESEHATAN)" dataDxfId="151"/>
    <tableColumn id="2" xr3:uid="{73AB6741-AEA8-431D-8581-0315C3570009}" name="Pelaksanaan" dataDxfId="150"/>
    <tableColumn id="3" xr3:uid="{7C871FDE-AE8B-4BCC-812C-8705A3D93217}" name="Jumlah PM" dataDxfId="149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7EF6CA2-A7E0-43DF-9081-05B1310F2435}" name="Table5101115162743" displayName="Table5101115162743" ref="C48:E51" totalsRowShown="0" headerRowDxfId="148" headerRowBorderDxfId="147" tableBorderDxfId="146" totalsRowBorderDxfId="145">
  <autoFilter ref="C48:E51" xr:uid="{77EF6CA2-A7E0-43DF-9081-05B1310F2435}"/>
  <tableColumns count="3">
    <tableColumn id="1" xr3:uid="{99E25F4F-88AD-4975-9AE2-827AB242E548}" name="PROGRAM RESPON BENCANA (BANTUAN PANGAN)" dataDxfId="144"/>
    <tableColumn id="2" xr3:uid="{FB4B2E70-0453-409E-86D0-3FF4995D1DE7}" name="Pelaksanaan" dataDxfId="143"/>
    <tableColumn id="3" xr3:uid="{4036CF95-0C2D-4CB3-8317-C8560C0C418E}" name="Jumlah PM" dataDxfId="142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6AADBE4-9766-4F90-9F56-88E3EF9F62FD}" name="Table510111516172844" displayName="Table510111516172844" ref="C53:E59" totalsRowShown="0" headerRowDxfId="141" headerRowBorderDxfId="140" tableBorderDxfId="139" totalsRowBorderDxfId="138">
  <autoFilter ref="C53:E59" xr:uid="{66AADBE4-9766-4F90-9F56-88E3EF9F62FD}"/>
  <tableColumns count="3">
    <tableColumn id="1" xr3:uid="{36C5F23D-C4CE-43B5-B60D-96917281A75B}" name="PROGRAM RESPON BENCANA (PSIKOSOSIAL)" dataDxfId="137"/>
    <tableColumn id="2" xr3:uid="{2CD61646-9A5B-44AE-BA5E-CF3AAEA3E787}" name="Pelaksanaan" dataDxfId="136"/>
    <tableColumn id="3" xr3:uid="{FB199035-23E2-45AB-A7BB-0AAF8360298E}" name="Jumlah PM" dataDxfId="135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A81FB95-EF00-4E87-A03B-118BF5E2C673}" name="Table51011151617182945" displayName="Table51011151617182945" ref="C61:E76" totalsRowShown="0" headerRowDxfId="134" headerRowBorderDxfId="133" tableBorderDxfId="132" totalsRowBorderDxfId="131">
  <autoFilter ref="C61:E76" xr:uid="{AA81FB95-EF00-4E87-A03B-118BF5E2C673}"/>
  <tableColumns count="3">
    <tableColumn id="1" xr3:uid="{64DAB2EA-C075-4626-B6C5-51CCFBE70D09}" name="PROGRAM RESPON BENCANA (RECOVERY)" dataDxfId="130"/>
    <tableColumn id="2" xr3:uid="{50E165A8-9B59-446D-85CB-DEFE77403BEF}" name="Pelaksanaan" dataDxfId="129"/>
    <tableColumn id="3" xr3:uid="{3EFAD810-5DF6-4274-8E5F-BDE10592A5A8}" name="Jumlah PM" dataDxfId="12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917458F4-AF03-4B60-A3DA-2969AC86AA60}" name="Table12243046" displayName="Table12243046" ref="G4:J8" totalsRowShown="0" headerRowDxfId="127" dataDxfId="125" headerRowBorderDxfId="126" tableBorderDxfId="124">
  <autoFilter ref="G4:J8" xr:uid="{917458F4-AF03-4B60-A3DA-2969AC86AA60}"/>
  <tableColumns count="4">
    <tableColumn id="1" xr3:uid="{CF5A9B8C-144C-4BE8-96F9-2C7163D5F3FA}" name="No" dataDxfId="123">
      <calculatedColumnFormula>IF(Table12243046[[#Headers],[Nama Program]]="","",ROW(K1))</calculatedColumnFormula>
    </tableColumn>
    <tableColumn id="2" xr3:uid="{5B33888C-93BC-4893-8FDA-E8E3157A6956}" name="Nama Program" dataDxfId="122"/>
    <tableColumn id="3" xr3:uid="{9177AB62-C90B-40F9-8B4E-EC101832B0AC}" name="Jumlah Pelaksanaan" dataDxfId="121"/>
    <tableColumn id="4" xr3:uid="{2FE5BC67-D59F-4677-B483-B8A1783AF737}" name="Jumlah PM" dataDxfId="120"/>
  </tableColumns>
  <tableStyleInfo name="TableStyleLight20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43C0490C-2BBF-46CF-AB4C-4E04F38CC257}" name="Table5101115263247" displayName="Table5101115263247" ref="H16:J18" totalsRowShown="0" headerRowDxfId="119" headerRowBorderDxfId="118" tableBorderDxfId="117" totalsRowBorderDxfId="116">
  <autoFilter ref="H16:J18" xr:uid="{43C0490C-2BBF-46CF-AB4C-4E04F38CC257}"/>
  <tableColumns count="3">
    <tableColumn id="1" xr3:uid="{8DB92B17-936B-469B-AE93-2C136C8EE4D8}" name="PROGRAM RESPON BENCANA (BANTUAN KESEHATAN)" dataDxfId="115"/>
    <tableColumn id="2" xr3:uid="{138448DB-E490-4845-89ED-D14CBE3FDEC3}" name="Pelaksanaan" dataDxfId="114"/>
    <tableColumn id="3" xr3:uid="{64B845F9-DF6F-4515-A0AF-7EE48D24CB8A}" name="Jumlah PM" dataDxfId="11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14D72B20-5391-41A6-BE78-978C6C375751}" name="Table510111516273348" displayName="Table510111516273348" ref="H20:J22" totalsRowShown="0" headerRowDxfId="112" headerRowBorderDxfId="111" tableBorderDxfId="110" totalsRowBorderDxfId="109">
  <autoFilter ref="H20:J22" xr:uid="{14D72B20-5391-41A6-BE78-978C6C375751}"/>
  <tableColumns count="3">
    <tableColumn id="1" xr3:uid="{9B78478A-89BB-43C1-BC37-AEFFA38699BB}" name="PROGRAM RESPON BENCANA (BANTUAN PANGAN)" dataDxfId="108"/>
    <tableColumn id="2" xr3:uid="{102CBA3F-D1FB-4687-AF44-6E4D4D6E4BF7}" name="Pelaksanaan" dataDxfId="107"/>
    <tableColumn id="3" xr3:uid="{4837F58A-79E3-46EA-B729-1DC49140930A}" name="Jumlah PM" dataDxfId="106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A23ACBE2-5BB5-419F-961F-1A12E1E33B64}" name="Table51011151617283449" displayName="Table51011151617283449" ref="H24:J26" totalsRowShown="0" headerRowDxfId="105" headerRowBorderDxfId="104" tableBorderDxfId="103" totalsRowBorderDxfId="102">
  <autoFilter ref="H24:J26" xr:uid="{A23ACBE2-5BB5-419F-961F-1A12E1E33B64}"/>
  <tableColumns count="3">
    <tableColumn id="1" xr3:uid="{986B1ED3-17D8-4AF7-8615-7AE9F1A8F3A2}" name="PROGRAM RESPON BENCANA (PSIKOSOSIAL)" dataDxfId="101"/>
    <tableColumn id="2" xr3:uid="{3FE758F7-6B37-458B-96B2-76CB77305FD4}" name="Pelaksanaan" dataDxfId="100"/>
    <tableColumn id="3" xr3:uid="{CA4C5BEE-EACF-477D-9E09-92A3FD9D5B46}" name="Jumlah PM" dataDxfId="99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0500834-58D7-4D31-8F2C-902CCB7D284A}" name="Table5101115161718293550" displayName="Table5101115161718293550" ref="H28:J30" totalsRowShown="0" headerRowDxfId="98" headerRowBorderDxfId="97" tableBorderDxfId="96" totalsRowBorderDxfId="95">
  <autoFilter ref="H28:J30" xr:uid="{A0500834-58D7-4D31-8F2C-902CCB7D284A}"/>
  <tableColumns count="3">
    <tableColumn id="1" xr3:uid="{EFADBE9F-EC1F-41FE-A3C9-C2198B8313CC}" name="PROGRAM RESPON BENCANA (RECOVERY)" dataDxfId="94"/>
    <tableColumn id="2" xr3:uid="{53026299-CA04-46AD-81B4-B2CAC0A80C7E}" name="Pelaksanaan" dataDxfId="93"/>
    <tableColumn id="3" xr3:uid="{7D53137B-11D9-4E9D-9226-A6688182FC24}" name="Jumlah PM" dataDxfId="92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B6D270FE-7A97-4FB4-8846-FB3E94DA9413}" name="Table12241951" displayName="Table12241951" ref="L4:O11" totalsRowShown="0" headerRowDxfId="91" dataDxfId="89" headerRowBorderDxfId="90" tableBorderDxfId="88">
  <autoFilter ref="L4:O11" xr:uid="{B6D270FE-7A97-4FB4-8846-FB3E94DA9413}"/>
  <tableColumns count="4">
    <tableColumn id="1" xr3:uid="{09CE36C1-FDEB-46A8-82CB-98F632912486}" name="No" dataDxfId="87">
      <calculatedColumnFormula>IF(Table12241951[[#Headers],[Nama Program]]="","",ROW(P1))</calculatedColumnFormula>
    </tableColumn>
    <tableColumn id="2" xr3:uid="{5BAD066F-BAF0-493C-8AA7-CA4365AA1957}" name="Nama Program" dataDxfId="86"/>
    <tableColumn id="3" xr3:uid="{43876BD1-4973-4E6B-A468-03577F47B82D}" name="Jumlah Pelaksanaan" dataDxfId="85"/>
    <tableColumn id="4" xr3:uid="{54EBEF9E-5755-444C-9D22-3C56BA3ACF01}" name="Jumlah PM" dataDxfId="84"/>
  </tableColumns>
  <tableStyleInfo name="TableStyleLight20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4893F50-BA85-4BBE-A5BA-2D6CC0109B2D}" name="Table51011252052" displayName="Table51011252052" ref="M19:O21" totalsRowShown="0" headerRowDxfId="83" headerRowBorderDxfId="82" tableBorderDxfId="81" totalsRowBorderDxfId="80">
  <autoFilter ref="M19:O21" xr:uid="{64893F50-BA85-4BBE-A5BA-2D6CC0109B2D}"/>
  <tableColumns count="3">
    <tableColumn id="1" xr3:uid="{116935AC-FFAD-4513-A3C8-3925D9569C70}" name="PROGRAM RESPON BENCANA (BANTUAN AIR BERSIH)" dataDxfId="79"/>
    <tableColumn id="2" xr3:uid="{76EEA608-B46E-418C-A242-669BA9DF12D1}" name="Pelaksanaan" dataDxfId="78"/>
    <tableColumn id="3" xr3:uid="{714AE54D-75DD-4C1C-9F27-E77B1831C3BF}" name="Jumlah PM" dataDxfId="77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AD7F82F-B4C2-4E6F-BCCA-A0175FD70C6D}" name="Table5101115262153" displayName="Table5101115262153" ref="M23:O26" totalsRowShown="0" headerRowDxfId="76" headerRowBorderDxfId="75" tableBorderDxfId="74" totalsRowBorderDxfId="73">
  <autoFilter ref="M23:O26" xr:uid="{7AD7F82F-B4C2-4E6F-BCCA-A0175FD70C6D}"/>
  <tableColumns count="3">
    <tableColumn id="1" xr3:uid="{03664889-3DBD-4D0B-B11E-47A69197DF4C}" name="PROGRAM RESPON BENCANA (BANTUAN KESEHATAN)" dataDxfId="72"/>
    <tableColumn id="2" xr3:uid="{184F96DF-97CC-4530-8EC5-DDF1A30BC203}" name="Pelaksanaan" dataDxfId="71"/>
    <tableColumn id="3" xr3:uid="{1918E03C-734B-4895-815E-5911276E7C49}" name="Jumlah PM" dataDxfId="7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B43D75E-C24C-43A3-82BE-BFC5FA332C63}" name="Table510111516272254" displayName="Table510111516272254" ref="M28:O31" totalsRowShown="0" headerRowDxfId="69" headerRowBorderDxfId="68" tableBorderDxfId="67" totalsRowBorderDxfId="66">
  <autoFilter ref="M28:O31" xr:uid="{CB43D75E-C24C-43A3-82BE-BFC5FA332C63}"/>
  <tableColumns count="3">
    <tableColumn id="1" xr3:uid="{33D95549-8C3A-4CB2-8420-926A0DD1B899}" name="PROGRAM RESPON BENCANA (BANTUAN PANGAN)" dataDxfId="65"/>
    <tableColumn id="2" xr3:uid="{08A47A64-3089-4D90-BF62-C50AE7AA3AFF}" name="Pelaksanaan" dataDxfId="64"/>
    <tableColumn id="3" xr3:uid="{C7731993-1F7F-4760-8015-624DCEA437E4}" name="Jumlah PM" dataDxfId="63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92336FF-AE41-4D82-8B29-5094A023B257}" name="Table51011151617282355" displayName="Table51011151617282355" ref="M33:O35" totalsRowShown="0" headerRowDxfId="62" headerRowBorderDxfId="61" tableBorderDxfId="60" totalsRowBorderDxfId="59">
  <autoFilter ref="M33:O35" xr:uid="{192336FF-AE41-4D82-8B29-5094A023B257}"/>
  <tableColumns count="3">
    <tableColumn id="1" xr3:uid="{E910FD1C-3D4E-4E8B-A0FA-0FBF4DD527D5}" name="PROGRAM RESPON BENCANA (PSIKOSOSIAL)" dataDxfId="58"/>
    <tableColumn id="2" xr3:uid="{78F575C4-9C80-4239-A77D-8C51729F50BE}" name="Pelaksanaan" dataDxfId="57"/>
    <tableColumn id="3" xr3:uid="{64E2E240-6277-4649-A545-8E8732D74E89}" name="Jumlah PM" dataDxfId="5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F8249C7F-B128-4679-A3BE-56E38E5071BF}" name="Table5101115161718293156" displayName="Table5101115161718293156" ref="M37:O39" totalsRowShown="0" headerRowDxfId="55" headerRowBorderDxfId="54" tableBorderDxfId="53" totalsRowBorderDxfId="52">
  <autoFilter ref="M37:O39" xr:uid="{F8249C7F-B128-4679-A3BE-56E38E5071BF}"/>
  <tableColumns count="3">
    <tableColumn id="1" xr3:uid="{C148730C-A247-483D-B498-74227B62D87F}" name="PROGRAM RESPON BENCANA (RECOVERY)" dataDxfId="51"/>
    <tableColumn id="2" xr3:uid="{EB209517-DC16-47FC-B420-0BD5BFFC5D00}" name="Pelaksanaan" dataDxfId="50"/>
    <tableColumn id="3" xr3:uid="{10DFE02E-2039-4B12-91EB-5A10905E1F34}" name="Jumlah PM" dataDxfId="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0A466D5-ED5A-4807-932A-DE775DB2016D}" name="Table12243657" displayName="Table12243657" ref="Q4:T9" totalsRowShown="0" headerRowDxfId="48" dataDxfId="46" headerRowBorderDxfId="47" tableBorderDxfId="45">
  <autoFilter ref="Q4:T9" xr:uid="{40A466D5-ED5A-4807-932A-DE775DB2016D}"/>
  <tableColumns count="4">
    <tableColumn id="1" xr3:uid="{409C6A58-4B55-485F-8BD2-48AF5D6B02B9}" name="No" dataDxfId="44">
      <calculatedColumnFormula>IF(Table12243657[[#Headers],[Nama Program]]="","",ROW(U1))</calculatedColumnFormula>
    </tableColumn>
    <tableColumn id="2" xr3:uid="{A6EA8B30-E666-46CF-818D-3E1128C0F0E5}" name="Nama Program" dataDxfId="43"/>
    <tableColumn id="3" xr3:uid="{552607BA-00DC-4238-A695-ED5491234CAD}" name="Jumlah Pelaksanaan" dataDxfId="42"/>
    <tableColumn id="4" xr3:uid="{D61B15B8-3DC8-40BE-8C76-9BB8D5FA69DF}" name="Jumlah PM" dataDxfId="41"/>
  </tableColumns>
  <tableStyleInfo name="TableStyleLight20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1BC35E70-78B3-471D-9CFF-3F162C59ED85}" name="Table5101115263858" displayName="Table5101115263858" ref="R17:T19" totalsRowShown="0" headerRowDxfId="40" headerRowBorderDxfId="39" tableBorderDxfId="38" totalsRowBorderDxfId="37">
  <autoFilter ref="R17:T19" xr:uid="{1BC35E70-78B3-471D-9CFF-3F162C59ED85}"/>
  <tableColumns count="3">
    <tableColumn id="1" xr3:uid="{3D60037C-68A9-4AA3-BA57-4683E51035D6}" name="PROGRAM RESPON BENCANA (BANTUAN KESEHATAN)" dataDxfId="36"/>
    <tableColumn id="2" xr3:uid="{1B2EFB88-275A-4549-995B-717601AD102F}" name="Pelaksanaan" dataDxfId="35"/>
    <tableColumn id="3" xr3:uid="{D2930AE8-8325-4953-8082-EC0D6F1B21BE}" name="Jumlah PM" dataDxfId="34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26432C3E-5D3E-4668-95B7-C4FE1A175E8D}" name="Table510111516273959" displayName="Table510111516273959" ref="R21:T23" totalsRowShown="0" headerRowDxfId="33" headerRowBorderDxfId="32" tableBorderDxfId="31" totalsRowBorderDxfId="30">
  <autoFilter ref="R21:T23" xr:uid="{26432C3E-5D3E-4668-95B7-C4FE1A175E8D}"/>
  <tableColumns count="3">
    <tableColumn id="1" xr3:uid="{ED495B3B-84A2-41C0-BA0A-65083B616497}" name="PROGRAM RESPON BENCANA (BANTUAN PANGAN)" dataDxfId="29"/>
    <tableColumn id="2" xr3:uid="{100920FB-CA91-45B1-B8CD-CEBE43D93933}" name="Pelaksanaan" dataDxfId="28"/>
    <tableColumn id="3" xr3:uid="{26A80C10-281E-4312-AA7D-9BD1EA8ED86D}" name="Jumlah PM" dataDxfId="27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4BA9230-8ACE-429A-89EC-E6E5D6706D3F}" name="Table51011151617284060" displayName="Table51011151617284060" ref="R25:T27" totalsRowShown="0" headerRowDxfId="26" headerRowBorderDxfId="25" tableBorderDxfId="24" totalsRowBorderDxfId="23">
  <autoFilter ref="R25:T27" xr:uid="{54BA9230-8ACE-429A-89EC-E6E5D6706D3F}"/>
  <tableColumns count="3">
    <tableColumn id="1" xr3:uid="{CD0A8D32-EF1B-42AB-AAD1-45465872844C}" name="PROGRAM RESPON BENCANA (PSIKOSOSIAL)" dataDxfId="22"/>
    <tableColumn id="2" xr3:uid="{22C90EA5-3BFC-4E6B-B43F-52D8D6FA1594}" name="Pelaksanaan" dataDxfId="21"/>
    <tableColumn id="3" xr3:uid="{D1DACEB0-0625-4846-B999-DD29CA86CE56}" name="Jumlah PM" dataDxfId="20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382FFEC1-440A-4C3A-AE21-0F901A20CF64}" name="Table5101115161718294161" displayName="Table5101115161718294161" ref="R29:T32" totalsRowShown="0" headerRowDxfId="19" headerRowBorderDxfId="18" tableBorderDxfId="17" totalsRowBorderDxfId="16">
  <autoFilter ref="R29:T32" xr:uid="{382FFEC1-440A-4C3A-AE21-0F901A20CF64}"/>
  <tableColumns count="3">
    <tableColumn id="1" xr3:uid="{12FF7F9E-3C72-4A0F-AF0F-BC42AA875BB4}" name="PROGRAM RESPON BENCANA (RECOVERY)" dataDxfId="15"/>
    <tableColumn id="2" xr3:uid="{CC0B396F-815B-4EAE-A369-18E18BD681CC}" name="Pelaksanaan" dataDxfId="14"/>
    <tableColumn id="3" xr3:uid="{450DE601-5DDA-41B3-9A9D-D4F58474F7A6}" name="Jumlah PM" dataDxfId="13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D2C6B7-A06A-449D-A0E8-9BF1749F58CD}" name="Table11" displayName="Table11" ref="B4:H58" headerRowDxfId="286" dataDxfId="284" totalsRowDxfId="282" headerRowBorderDxfId="285" tableBorderDxfId="283" totalsRowBorderDxfId="281">
  <autoFilter ref="B4:H58" xr:uid="{5ED2C6B7-A06A-449D-A0E8-9BF1749F58CD}"/>
  <sortState xmlns:xlrd2="http://schemas.microsoft.com/office/spreadsheetml/2017/richdata2" ref="B5:H58">
    <sortCondition descending="1" ref="H4:H58"/>
  </sortState>
  <tableColumns count="7">
    <tableColumn id="1" xr3:uid="{999FD102-ED44-428A-94B5-A989D91173A5}" name="No" dataDxfId="280" totalsRowDxfId="279">
      <calculatedColumnFormula>IF(Table11[[#This Row],[Kelurahan]]="","",ROW(I1))</calculatedColumnFormula>
    </tableColumn>
    <tableColumn id="2" xr3:uid="{EA3FD4C8-B883-4E0E-B87C-1044416E56D0}" name="Kelurahan" dataDxfId="278" totalsRowDxfId="277"/>
    <tableColumn id="3" xr3:uid="{A297E9E8-1376-4A6F-AB2F-8C696E87EB4A}" name="Kecamatan" dataDxfId="276" totalsRowDxfId="275">
      <calculatedColumnFormula>INDEX(Table2[Kecamatan],MATCH(Table11[[#This Row],[Kelurahan]],Table2[Kelurahan],0))</calculatedColumnFormula>
    </tableColumn>
    <tableColumn id="4" xr3:uid="{F145B2F8-6332-4769-B127-DF20777BAF65}" name="Kab/Kota" dataDxfId="274" totalsRowDxfId="273">
      <calculatedColumnFormula>INDEX(Table2[Kabupaten/Kota],MATCH(Table11[[#This Row],[Kecamatan]],Table2[Kecamatan],0))</calculatedColumnFormula>
    </tableColumn>
    <tableColumn id="5" xr3:uid="{26017E59-E27C-4496-9FE4-943F769C6A9A}" name="Provinsi" dataDxfId="272" totalsRowDxfId="271">
      <calculatedColumnFormula>INDEX(Table2[Provinsi],MATCH(Table11[[#This Row],[Kab/Kota]],Table2[Kabupaten/Kota],0))</calculatedColumnFormula>
    </tableColumn>
    <tableColumn id="6" xr3:uid="{0BE63882-DB14-4B3A-A520-0F7E7FC3F65B}" name="Negara" dataDxfId="270" totalsRowDxfId="269"/>
    <tableColumn id="7" xr3:uid="{D3A58054-8415-4385-A495-659BC58FA6D3}" name="Kuantitas program" dataDxfId="268" totalsRowDxfId="267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0FA005-A270-4BB8-AC9C-14FF2BED9744}" name="Table5" displayName="Table5" ref="B3:D78" totalsRowShown="0" dataDxfId="12">
  <autoFilter ref="B3:D78" xr:uid="{CD0FA005-A270-4BB8-AC9C-14FF2BED9744}"/>
  <sortState xmlns:xlrd2="http://schemas.microsoft.com/office/spreadsheetml/2017/richdata2" ref="B4:D71">
    <sortCondition ref="D3:D71"/>
  </sortState>
  <tableColumns count="3">
    <tableColumn id="1" xr3:uid="{4DA2B467-38CF-4E72-8830-749D2BD8CA28}" name="NO" dataDxfId="11">
      <calculatedColumnFormula>IF(Table5[[#This Row],[NAMA PROGRAM]]="","",ROW(H1))</calculatedColumnFormula>
    </tableColumn>
    <tableColumn id="2" xr3:uid="{F0D6EBCE-D686-4595-ADEC-A9C3B1130D6E}" name="NAMA PROGRAM" dataDxfId="10"/>
    <tableColumn id="3" xr3:uid="{D6B1E617-9BDF-492A-AECD-97768F5633F4}" name="KATEGORI PROGRAM" dataDxfId="9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D71B5C-1700-473B-A572-95BA6752F2F1}" name="Table6" displayName="Table6" ref="F3:F16" totalsRowShown="0" headerRowDxfId="8" dataDxfId="6" headerRowBorderDxfId="7" tableBorderDxfId="5" totalsRowBorderDxfId="4">
  <autoFilter ref="F3:F16" xr:uid="{45D71B5C-1700-473B-A572-95BA6752F2F1}"/>
  <sortState xmlns:xlrd2="http://schemas.microsoft.com/office/spreadsheetml/2017/richdata2" ref="F4:F16">
    <sortCondition ref="F3:F16"/>
  </sortState>
  <tableColumns count="1">
    <tableColumn id="1" xr3:uid="{895C69E7-ED4C-4BBC-A5BF-BFF2582BE268}" name="KATEGORI PROGRAM" dataDxfId="3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B0819-4E6E-4B5B-8E60-8A0381D2A5D5}" name="Table2" displayName="Table2" ref="H3:L174" totalsRowShown="0">
  <autoFilter ref="H3:L174" xr:uid="{D4EB0819-4E6E-4B5B-8E60-8A0381D2A5D5}"/>
  <sortState xmlns:xlrd2="http://schemas.microsoft.com/office/spreadsheetml/2017/richdata2" ref="H4:L142">
    <sortCondition ref="K3:K142"/>
  </sortState>
  <tableColumns count="5">
    <tableColumn id="1" xr3:uid="{8D158E17-5853-4B30-BEDA-5D189051017A}" name="No" dataDxfId="2">
      <calculatedColumnFormula>IF(Table2[[#This Row],[Kelurahan]]="","",ROW(M1))</calculatedColumnFormula>
    </tableColumn>
    <tableColumn id="2" xr3:uid="{2E879D74-9562-4A5F-AF4E-5D92C64A7F69}" name="Kelurahan"/>
    <tableColumn id="3" xr3:uid="{BBC07764-0996-48C6-9277-DC03AEE92D59}" name="Kecamatan"/>
    <tableColumn id="5" xr3:uid="{ECF6C8EB-8088-4F98-A6A9-3314D952890C}" name="Kabupaten/Kota"/>
    <tableColumn id="4" xr3:uid="{BDC590F7-7DC9-41B5-B861-07DB5AA7E868}" name="Provinsi"/>
  </tableColumns>
  <tableStyleInfo name="TableStyleLight20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74513D8-9D04-4158-9A07-BFF37D67E871}" name="Table13" displayName="Table13" ref="N3:O16" totalsRowShown="0">
  <autoFilter ref="N3:O16" xr:uid="{774513D8-9D04-4158-9A07-BFF37D67E871}"/>
  <tableColumns count="2">
    <tableColumn id="1" xr3:uid="{CF4D30BB-003C-4F6F-82B7-0CED3E39060F}" name="No" dataDxfId="1">
      <calculatedColumnFormula>IF(Table13[[#This Row],[Sasaran PM]]="","",ROW(Q1))</calculatedColumnFormula>
    </tableColumn>
    <tableColumn id="2" xr3:uid="{2C257920-1917-4A47-83A1-512A2F895C56}" name="Sasaran PM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ps.app.goo.gl/RWuaaWqXtAopiwyCA" TargetMode="External"/><Relationship Id="rId21" Type="http://schemas.openxmlformats.org/officeDocument/2006/relationships/hyperlink" Target="https://maps.app.goo.gl/uWDWDgF8z7FAXJLz5" TargetMode="External"/><Relationship Id="rId42" Type="http://schemas.openxmlformats.org/officeDocument/2006/relationships/hyperlink" Target="https://maps.app.goo.gl/GAUzH5M8gzbqXzxp9" TargetMode="External"/><Relationship Id="rId47" Type="http://schemas.openxmlformats.org/officeDocument/2006/relationships/hyperlink" Target="https://maps.app.goo.gl/9PxiL47zAUeEVv3M9" TargetMode="External"/><Relationship Id="rId63" Type="http://schemas.openxmlformats.org/officeDocument/2006/relationships/hyperlink" Target="https://maps.app.goo.gl/65px8k8syG1SNhYD9" TargetMode="External"/><Relationship Id="rId68" Type="http://schemas.openxmlformats.org/officeDocument/2006/relationships/hyperlink" Target="https://maps.app.goo.gl/iuBGsozAXz1ZcqFw9" TargetMode="External"/><Relationship Id="rId84" Type="http://schemas.openxmlformats.org/officeDocument/2006/relationships/hyperlink" Target="https://maps.app.goo.gl/5iR25WBYRsxqYYpR6" TargetMode="External"/><Relationship Id="rId89" Type="http://schemas.openxmlformats.org/officeDocument/2006/relationships/hyperlink" Target="https://maps.app.goo.gl/GAUzH5M8gzbqXzxp9" TargetMode="External"/><Relationship Id="rId112" Type="http://schemas.openxmlformats.org/officeDocument/2006/relationships/hyperlink" Target="https://maps.app.goo.gl/J5p9mv9xNuHc4gG8A" TargetMode="External"/><Relationship Id="rId16" Type="http://schemas.openxmlformats.org/officeDocument/2006/relationships/hyperlink" Target="https://maps.app.goo.gl/qYagXQrB2ivjmqL58" TargetMode="External"/><Relationship Id="rId107" Type="http://schemas.openxmlformats.org/officeDocument/2006/relationships/hyperlink" Target="https://maps.app.goo.gl/VjaNTBX1mgBqntVu6" TargetMode="External"/><Relationship Id="rId11" Type="http://schemas.openxmlformats.org/officeDocument/2006/relationships/hyperlink" Target="https://maps.app.goo.gl/yeGSvzZ2T4tbFix89" TargetMode="External"/><Relationship Id="rId32" Type="http://schemas.openxmlformats.org/officeDocument/2006/relationships/hyperlink" Target="https://maps.app.goo.gl/GAUzH5M8gzbqXzxp9" TargetMode="External"/><Relationship Id="rId37" Type="http://schemas.openxmlformats.org/officeDocument/2006/relationships/hyperlink" Target="https://maps.app.goo.gl/5AbkQcj4TrNB4v9B8" TargetMode="External"/><Relationship Id="rId53" Type="http://schemas.openxmlformats.org/officeDocument/2006/relationships/hyperlink" Target="https://maps.app.goo.gl/RWuaaWqXtAopiwyCA" TargetMode="External"/><Relationship Id="rId58" Type="http://schemas.openxmlformats.org/officeDocument/2006/relationships/hyperlink" Target="https://maps.app.goo.gl/RWuaaWqXtAopiwyCA" TargetMode="External"/><Relationship Id="rId74" Type="http://schemas.openxmlformats.org/officeDocument/2006/relationships/hyperlink" Target="https://maps.app.goo.gl/Eq7umZYdkwsVKL8N9" TargetMode="External"/><Relationship Id="rId79" Type="http://schemas.openxmlformats.org/officeDocument/2006/relationships/hyperlink" Target="https://maps.app.goo.gl/QxCPZ3NEfiwRHzBi7" TargetMode="External"/><Relationship Id="rId102" Type="http://schemas.openxmlformats.org/officeDocument/2006/relationships/hyperlink" Target="https://maps.app.goo.gl/Ge9w7ARTLkNYwkUo9" TargetMode="External"/><Relationship Id="rId123" Type="http://schemas.openxmlformats.org/officeDocument/2006/relationships/hyperlink" Target="https://maps.app.goo.gl/Q18pi6JMKM4WMuEFA" TargetMode="External"/><Relationship Id="rId128" Type="http://schemas.openxmlformats.org/officeDocument/2006/relationships/hyperlink" Target="https://maps.app.goo.gl/uWDWDgF8z7FAXJLz5" TargetMode="External"/><Relationship Id="rId5" Type="http://schemas.openxmlformats.org/officeDocument/2006/relationships/hyperlink" Target="https://maps.app.goo.gl/GAUzH5M8gzbqXzxp9" TargetMode="External"/><Relationship Id="rId90" Type="http://schemas.openxmlformats.org/officeDocument/2006/relationships/hyperlink" Target="https://maps.app.goo.gl/KxcgZNth3f3687YK9" TargetMode="External"/><Relationship Id="rId95" Type="http://schemas.openxmlformats.org/officeDocument/2006/relationships/hyperlink" Target="https://maps.app.goo.gl/6eu58pz62zTBULKa9" TargetMode="External"/><Relationship Id="rId22" Type="http://schemas.openxmlformats.org/officeDocument/2006/relationships/hyperlink" Target="https://maps.app.goo.gl/GAUzH5M8gzbqXzxp9" TargetMode="External"/><Relationship Id="rId27" Type="http://schemas.openxmlformats.org/officeDocument/2006/relationships/hyperlink" Target="https://maps.app.goo.gl/uWDWDgF8z7FAXJLz5" TargetMode="External"/><Relationship Id="rId43" Type="http://schemas.openxmlformats.org/officeDocument/2006/relationships/hyperlink" Target="https://maps.app.goo.gl/5JZnvHGSpPSLjmEP9" TargetMode="External"/><Relationship Id="rId48" Type="http://schemas.openxmlformats.org/officeDocument/2006/relationships/hyperlink" Target="https://maps.app.goo.gl/bKdrEwqYxiqxGkZU6" TargetMode="External"/><Relationship Id="rId64" Type="http://schemas.openxmlformats.org/officeDocument/2006/relationships/hyperlink" Target="https://maps.app.goo.gl/KxcgZNth3f3687YK9" TargetMode="External"/><Relationship Id="rId69" Type="http://schemas.openxmlformats.org/officeDocument/2006/relationships/hyperlink" Target="https://maps.app.goo.gl/GAUzH5M8gzbqXzxp9" TargetMode="External"/><Relationship Id="rId113" Type="http://schemas.openxmlformats.org/officeDocument/2006/relationships/hyperlink" Target="https://maps.app.goo.gl/MtyGf3abo15Psz4f6" TargetMode="External"/><Relationship Id="rId118" Type="http://schemas.openxmlformats.org/officeDocument/2006/relationships/hyperlink" Target="https://maps.app.goo.gl/Ws4Jy1KjDbGwRLGF7" TargetMode="External"/><Relationship Id="rId80" Type="http://schemas.openxmlformats.org/officeDocument/2006/relationships/hyperlink" Target="https://maps.app.goo.gl/9ffVHBn1LDXNoof37" TargetMode="External"/><Relationship Id="rId85" Type="http://schemas.openxmlformats.org/officeDocument/2006/relationships/hyperlink" Target="https://maps.app.goo.gl/CchY8VuWzTnTFN4i7" TargetMode="External"/><Relationship Id="rId12" Type="http://schemas.openxmlformats.org/officeDocument/2006/relationships/hyperlink" Target="https://maps.app.goo.gl/uWDWDgF8z7FAXJLz5" TargetMode="External"/><Relationship Id="rId17" Type="http://schemas.openxmlformats.org/officeDocument/2006/relationships/hyperlink" Target="https://maps.app.goo.gl/5AbkQcj4TrNB4v9B8" TargetMode="External"/><Relationship Id="rId33" Type="http://schemas.openxmlformats.org/officeDocument/2006/relationships/hyperlink" Target="https://maps.app.goo.gl/oS5p7pd4FsRLsxKn8" TargetMode="External"/><Relationship Id="rId38" Type="http://schemas.openxmlformats.org/officeDocument/2006/relationships/hyperlink" Target="https://maps.app.goo.gl/GAUzH5M8gzbqXzxp9" TargetMode="External"/><Relationship Id="rId59" Type="http://schemas.openxmlformats.org/officeDocument/2006/relationships/hyperlink" Target="https://maps.app.goo.gl/GAUzH5M8gzbqXzxp9" TargetMode="External"/><Relationship Id="rId103" Type="http://schemas.openxmlformats.org/officeDocument/2006/relationships/hyperlink" Target="https://maps.app.goo.gl/4BA9a4so7xS8egRE8" TargetMode="External"/><Relationship Id="rId108" Type="http://schemas.openxmlformats.org/officeDocument/2006/relationships/hyperlink" Target="https://maps.app.goo.gl/KxcgZNth3f3687YK9" TargetMode="External"/><Relationship Id="rId124" Type="http://schemas.openxmlformats.org/officeDocument/2006/relationships/hyperlink" Target="https://maps.app.goo.gl/urfE5GtHedeXjmfz9" TargetMode="External"/><Relationship Id="rId129" Type="http://schemas.openxmlformats.org/officeDocument/2006/relationships/hyperlink" Target="https://maps.app.goo.gl/GXUUKCdHzG4JPwtk9" TargetMode="External"/><Relationship Id="rId54" Type="http://schemas.openxmlformats.org/officeDocument/2006/relationships/hyperlink" Target="https://maps.app.goo.gl/65px8k8syG1SNhYD9" TargetMode="External"/><Relationship Id="rId70" Type="http://schemas.openxmlformats.org/officeDocument/2006/relationships/hyperlink" Target="https://maps.app.goo.gl/iSjQqyHnWSGNdpWH6" TargetMode="External"/><Relationship Id="rId75" Type="http://schemas.openxmlformats.org/officeDocument/2006/relationships/hyperlink" Target="https://maps.app.goo.gl/a4wTiDcfzvjaZAdU9" TargetMode="External"/><Relationship Id="rId91" Type="http://schemas.openxmlformats.org/officeDocument/2006/relationships/hyperlink" Target="https://maps.app.goo.gl/6eu58pz62zTBULKa9" TargetMode="External"/><Relationship Id="rId96" Type="http://schemas.openxmlformats.org/officeDocument/2006/relationships/hyperlink" Target="https://maps.app.goo.gl/6eu58pz62zTBULKa9" TargetMode="External"/><Relationship Id="rId1" Type="http://schemas.openxmlformats.org/officeDocument/2006/relationships/hyperlink" Target="https://maps.app.goo.gl/uWDWDgF8z7FAXJLz5" TargetMode="External"/><Relationship Id="rId6" Type="http://schemas.openxmlformats.org/officeDocument/2006/relationships/hyperlink" Target="https://maps.app.goo.gl/GAUzH5M8gzbqXzxp9" TargetMode="External"/><Relationship Id="rId23" Type="http://schemas.openxmlformats.org/officeDocument/2006/relationships/hyperlink" Target="https://maps.app.goo.gl/iuBGsozAXz1ZcqFw9" TargetMode="External"/><Relationship Id="rId28" Type="http://schemas.openxmlformats.org/officeDocument/2006/relationships/hyperlink" Target="https://maps.app.goo.gl/GAUzH5M8gzbqXzxp9" TargetMode="External"/><Relationship Id="rId49" Type="http://schemas.openxmlformats.org/officeDocument/2006/relationships/hyperlink" Target="https://maps.app.goo.gl/bKdrEwqYxiqxGkZU6" TargetMode="External"/><Relationship Id="rId114" Type="http://schemas.openxmlformats.org/officeDocument/2006/relationships/hyperlink" Target="https://maps.app.goo.gl/GAUzH5M8gzbqXzxp9" TargetMode="External"/><Relationship Id="rId119" Type="http://schemas.openxmlformats.org/officeDocument/2006/relationships/hyperlink" Target="https://maps.app.goo.gl/nVuhdK8wcX3pXJ6GA" TargetMode="External"/><Relationship Id="rId44" Type="http://schemas.openxmlformats.org/officeDocument/2006/relationships/hyperlink" Target="https://maps.app.goo.gl/uWDWDgF8z7FAXJLz5" TargetMode="External"/><Relationship Id="rId60" Type="http://schemas.openxmlformats.org/officeDocument/2006/relationships/hyperlink" Target="https://maps.app.goo.gl/qYagXQrB2ivjmqL58" TargetMode="External"/><Relationship Id="rId65" Type="http://schemas.openxmlformats.org/officeDocument/2006/relationships/hyperlink" Target="https://maps.app.goo.gl/uWDWDgF8z7FAXJLz5" TargetMode="External"/><Relationship Id="rId81" Type="http://schemas.openxmlformats.org/officeDocument/2006/relationships/hyperlink" Target="https://maps.app.goo.gl/ZvGFRMUVkM5oiD8N6" TargetMode="External"/><Relationship Id="rId86" Type="http://schemas.openxmlformats.org/officeDocument/2006/relationships/hyperlink" Target="https://maps.app.goo.gl/CchY8VuWzTnTFN4i7" TargetMode="External"/><Relationship Id="rId130" Type="http://schemas.openxmlformats.org/officeDocument/2006/relationships/hyperlink" Target="https://maps.app.goo.gl/GAUzH5M8gzbqXzxp9" TargetMode="External"/><Relationship Id="rId13" Type="http://schemas.openxmlformats.org/officeDocument/2006/relationships/hyperlink" Target="https://maps.app.goo.gl/65px8k8syG1SNhYD9" TargetMode="External"/><Relationship Id="rId18" Type="http://schemas.openxmlformats.org/officeDocument/2006/relationships/hyperlink" Target="https://maps.app.goo.gl/iuBGsozAXz1ZcqFw9" TargetMode="External"/><Relationship Id="rId39" Type="http://schemas.openxmlformats.org/officeDocument/2006/relationships/hyperlink" Target="https://maps.app.goo.gl/GAUzH5M8gzbqXzxp9" TargetMode="External"/><Relationship Id="rId109" Type="http://schemas.openxmlformats.org/officeDocument/2006/relationships/hyperlink" Target="https://maps.app.goo.gl/KxcgZNth3f3687YK9" TargetMode="External"/><Relationship Id="rId34" Type="http://schemas.openxmlformats.org/officeDocument/2006/relationships/hyperlink" Target="https://maps.app.goo.gl/QsKHRhonD7RcCb5a6" TargetMode="External"/><Relationship Id="rId50" Type="http://schemas.openxmlformats.org/officeDocument/2006/relationships/hyperlink" Target="https://maps.app.goo.gl/bKdrEwqYxiqxGkZU6" TargetMode="External"/><Relationship Id="rId55" Type="http://schemas.openxmlformats.org/officeDocument/2006/relationships/hyperlink" Target="https://maps.app.goo.gl/9PxiL47zAUeEVv3M9" TargetMode="External"/><Relationship Id="rId76" Type="http://schemas.openxmlformats.org/officeDocument/2006/relationships/hyperlink" Target="https://maps.app.goo.gl/Zz1QwfkGMXXqQRkDA" TargetMode="External"/><Relationship Id="rId97" Type="http://schemas.openxmlformats.org/officeDocument/2006/relationships/hyperlink" Target="https://maps.app.goo.gl/6eu58pz62zTBULKa9" TargetMode="External"/><Relationship Id="rId104" Type="http://schemas.openxmlformats.org/officeDocument/2006/relationships/hyperlink" Target="https://maps.app.goo.gl/7haKeQcuP1zwfLse9" TargetMode="External"/><Relationship Id="rId120" Type="http://schemas.openxmlformats.org/officeDocument/2006/relationships/hyperlink" Target="https://maps.app.goo.gl/errPKUUoU6kZTGxq8" TargetMode="External"/><Relationship Id="rId125" Type="http://schemas.openxmlformats.org/officeDocument/2006/relationships/hyperlink" Target="https://maps.app.goo.gl/KxcgZNth3f3687YK9" TargetMode="External"/><Relationship Id="rId7" Type="http://schemas.openxmlformats.org/officeDocument/2006/relationships/hyperlink" Target="https://maps.app.goo.gl/5AbkQcj4TrNB4v9B8" TargetMode="External"/><Relationship Id="rId71" Type="http://schemas.openxmlformats.org/officeDocument/2006/relationships/hyperlink" Target="https://maps.app.goo.gl/uWDWDgF8z7FAXJLz5" TargetMode="External"/><Relationship Id="rId92" Type="http://schemas.openxmlformats.org/officeDocument/2006/relationships/hyperlink" Target="https://maps.app.goo.gl/6eu58pz62zTBULKa9" TargetMode="External"/><Relationship Id="rId2" Type="http://schemas.openxmlformats.org/officeDocument/2006/relationships/hyperlink" Target="https://maps.app.goo.gl/GAUzH5M8gzbqXzxp9" TargetMode="External"/><Relationship Id="rId29" Type="http://schemas.openxmlformats.org/officeDocument/2006/relationships/hyperlink" Target="https://maps.app.goo.gl/RWuaaWqXtAopiwyCA" TargetMode="External"/><Relationship Id="rId24" Type="http://schemas.openxmlformats.org/officeDocument/2006/relationships/hyperlink" Target="https://maps.app.goo.gl/GAUzH5M8gzbqXzxp9" TargetMode="External"/><Relationship Id="rId40" Type="http://schemas.openxmlformats.org/officeDocument/2006/relationships/hyperlink" Target="https://maps.app.goo.gl/GAUzH5M8gzbqXzxp9" TargetMode="External"/><Relationship Id="rId45" Type="http://schemas.openxmlformats.org/officeDocument/2006/relationships/hyperlink" Target="https://maps.app.goo.gl/uWDWDgF8z7FAXJLz5" TargetMode="External"/><Relationship Id="rId66" Type="http://schemas.openxmlformats.org/officeDocument/2006/relationships/hyperlink" Target="https://maps.app.goo.gl/GAUzH5M8gzbqXzxp9" TargetMode="External"/><Relationship Id="rId87" Type="http://schemas.openxmlformats.org/officeDocument/2006/relationships/hyperlink" Target="https://maps.app.goo.gl/QPHF2pe5MDfx4gi56" TargetMode="External"/><Relationship Id="rId110" Type="http://schemas.openxmlformats.org/officeDocument/2006/relationships/hyperlink" Target="https://maps.app.goo.gl/1iBbYpyF8UcHGVdv6" TargetMode="External"/><Relationship Id="rId115" Type="http://schemas.openxmlformats.org/officeDocument/2006/relationships/hyperlink" Target="https://maps.app.goo.gl/uWDWDgF8z7FAXJLz5" TargetMode="External"/><Relationship Id="rId131" Type="http://schemas.openxmlformats.org/officeDocument/2006/relationships/printerSettings" Target="../printerSettings/printerSettings1.bin"/><Relationship Id="rId61" Type="http://schemas.openxmlformats.org/officeDocument/2006/relationships/hyperlink" Target="https://maps.app.goo.gl/zvokjmYZoj4KLSKq9" TargetMode="External"/><Relationship Id="rId82" Type="http://schemas.openxmlformats.org/officeDocument/2006/relationships/hyperlink" Target="https://maps.app.goo.gl/YHn1HHRAgKTjgosb6" TargetMode="External"/><Relationship Id="rId19" Type="http://schemas.openxmlformats.org/officeDocument/2006/relationships/hyperlink" Target="https://maps.app.goo.gl/GAUzH5M8gzbqXzxp9" TargetMode="External"/><Relationship Id="rId14" Type="http://schemas.openxmlformats.org/officeDocument/2006/relationships/hyperlink" Target="https://maps.app.goo.gl/GAUzH5M8gzbqXzxp9" TargetMode="External"/><Relationship Id="rId30" Type="http://schemas.openxmlformats.org/officeDocument/2006/relationships/hyperlink" Target="https://maps.app.goo.gl/65px8k8syG1SNhYD9" TargetMode="External"/><Relationship Id="rId35" Type="http://schemas.openxmlformats.org/officeDocument/2006/relationships/hyperlink" Target="https://maps.app.goo.gl/5AbkQcj4TrNB4v9B8" TargetMode="External"/><Relationship Id="rId56" Type="http://schemas.openxmlformats.org/officeDocument/2006/relationships/hyperlink" Target="https://maps.app.goo.gl/qYagXQrB2ivjmqL58" TargetMode="External"/><Relationship Id="rId77" Type="http://schemas.openxmlformats.org/officeDocument/2006/relationships/hyperlink" Target="https://maps.app.goo.gl/nXHZKQw462MCLxcTA" TargetMode="External"/><Relationship Id="rId100" Type="http://schemas.openxmlformats.org/officeDocument/2006/relationships/hyperlink" Target="https://maps.app.goo.gl/pkqEEersFw1PVcw46" TargetMode="External"/><Relationship Id="rId105" Type="http://schemas.openxmlformats.org/officeDocument/2006/relationships/hyperlink" Target="https://maps.app.goo.gl/XVkrY3v5ZaZZFyAE9" TargetMode="External"/><Relationship Id="rId126" Type="http://schemas.openxmlformats.org/officeDocument/2006/relationships/hyperlink" Target="https://maps.app.goo.gl/cu8h5DVC7wSS95uEA" TargetMode="External"/><Relationship Id="rId8" Type="http://schemas.openxmlformats.org/officeDocument/2006/relationships/hyperlink" Target="https://maps.app.goo.gl/GAUzH5M8gzbqXzxp9" TargetMode="External"/><Relationship Id="rId51" Type="http://schemas.openxmlformats.org/officeDocument/2006/relationships/hyperlink" Target="https://maps.app.goo.gl/GAUzH5M8gzbqXzxp9" TargetMode="External"/><Relationship Id="rId72" Type="http://schemas.openxmlformats.org/officeDocument/2006/relationships/hyperlink" Target="https://maps.app.goo.gl/KxcgZNth3f3687YK9" TargetMode="External"/><Relationship Id="rId93" Type="http://schemas.openxmlformats.org/officeDocument/2006/relationships/hyperlink" Target="https://maps.app.goo.gl/6eu58pz62zTBULKa9" TargetMode="External"/><Relationship Id="rId98" Type="http://schemas.openxmlformats.org/officeDocument/2006/relationships/hyperlink" Target="https://maps.app.goo.gl/6eu58pz62zTBULKa9" TargetMode="External"/><Relationship Id="rId121" Type="http://schemas.openxmlformats.org/officeDocument/2006/relationships/hyperlink" Target="https://maps.app.goo.gl/MbeCAhuuMa343dPP7" TargetMode="External"/><Relationship Id="rId3" Type="http://schemas.openxmlformats.org/officeDocument/2006/relationships/hyperlink" Target="https://maps.app.goo.gl/RWuaaWqXtAopiwyCA" TargetMode="External"/><Relationship Id="rId25" Type="http://schemas.openxmlformats.org/officeDocument/2006/relationships/hyperlink" Target="https://maps.app.goo.gl/iSjQqyHnWSGNdpWH6" TargetMode="External"/><Relationship Id="rId46" Type="http://schemas.openxmlformats.org/officeDocument/2006/relationships/hyperlink" Target="https://maps.app.goo.gl/2Bq1BUfqtoPkNF5p9" TargetMode="External"/><Relationship Id="rId67" Type="http://schemas.openxmlformats.org/officeDocument/2006/relationships/hyperlink" Target="https://maps.app.goo.gl/TsRZyQkQNHUJ1Ged8" TargetMode="External"/><Relationship Id="rId116" Type="http://schemas.openxmlformats.org/officeDocument/2006/relationships/hyperlink" Target="https://maps.app.goo.gl/65px8k8syG1SNhYD9" TargetMode="External"/><Relationship Id="rId20" Type="http://schemas.openxmlformats.org/officeDocument/2006/relationships/hyperlink" Target="https://maps.app.goo.gl/iSjQqyHnWSGNdpWH6" TargetMode="External"/><Relationship Id="rId41" Type="http://schemas.openxmlformats.org/officeDocument/2006/relationships/hyperlink" Target="https://maps.app.goo.gl/MbeCAhuuMa343dPP7" TargetMode="External"/><Relationship Id="rId62" Type="http://schemas.openxmlformats.org/officeDocument/2006/relationships/hyperlink" Target="https://maps.app.goo.gl/RWuaaWqXtAopiwyCA" TargetMode="External"/><Relationship Id="rId83" Type="http://schemas.openxmlformats.org/officeDocument/2006/relationships/hyperlink" Target="https://maps.app.goo.gl/6oBoDGJ6ArCvWY13A" TargetMode="External"/><Relationship Id="rId88" Type="http://schemas.openxmlformats.org/officeDocument/2006/relationships/hyperlink" Target="https://maps.app.goo.gl/cHw9dNokUDRqEgNi6" TargetMode="External"/><Relationship Id="rId111" Type="http://schemas.openxmlformats.org/officeDocument/2006/relationships/hyperlink" Target="https://maps.app.goo.gl/Nw9hbzNZ3QUGnDWR8" TargetMode="External"/><Relationship Id="rId132" Type="http://schemas.openxmlformats.org/officeDocument/2006/relationships/table" Target="../tables/table1.xml"/><Relationship Id="rId15" Type="http://schemas.openxmlformats.org/officeDocument/2006/relationships/hyperlink" Target="https://maps.app.goo.gl/92tCxkaX9JQokzps9" TargetMode="External"/><Relationship Id="rId36" Type="http://schemas.openxmlformats.org/officeDocument/2006/relationships/hyperlink" Target="https://maps.app.goo.gl/GAUzH5M8gzbqXzxp9" TargetMode="External"/><Relationship Id="rId57" Type="http://schemas.openxmlformats.org/officeDocument/2006/relationships/hyperlink" Target="https://maps.app.goo.gl/MbeCAhuuMa343dPP7" TargetMode="External"/><Relationship Id="rId106" Type="http://schemas.openxmlformats.org/officeDocument/2006/relationships/hyperlink" Target="https://maps.app.goo.gl/VjaNTBX1mgBqntVu6" TargetMode="External"/><Relationship Id="rId127" Type="http://schemas.openxmlformats.org/officeDocument/2006/relationships/hyperlink" Target="https://maps.app.goo.gl/65px8k8syG1SNhYD9" TargetMode="External"/><Relationship Id="rId10" Type="http://schemas.openxmlformats.org/officeDocument/2006/relationships/hyperlink" Target="https://maps.app.goo.gl/Sua1CEAmB6KFuSZt6" TargetMode="External"/><Relationship Id="rId31" Type="http://schemas.openxmlformats.org/officeDocument/2006/relationships/hyperlink" Target="https://maps.app.goo.gl/GAUzH5M8gzbqXzxp9" TargetMode="External"/><Relationship Id="rId52" Type="http://schemas.openxmlformats.org/officeDocument/2006/relationships/hyperlink" Target="https://maps.app.goo.gl/uWDWDgF8z7FAXJLz5" TargetMode="External"/><Relationship Id="rId73" Type="http://schemas.openxmlformats.org/officeDocument/2006/relationships/hyperlink" Target="https://maps.app.goo.gl/KxcgZNth3f3687YK9" TargetMode="External"/><Relationship Id="rId78" Type="http://schemas.openxmlformats.org/officeDocument/2006/relationships/hyperlink" Target="https://maps.app.goo.gl/4zGjcDQXeMAUQP2z7" TargetMode="External"/><Relationship Id="rId94" Type="http://schemas.openxmlformats.org/officeDocument/2006/relationships/hyperlink" Target="https://maps.app.goo.gl/6eu58pz62zTBULKa9" TargetMode="External"/><Relationship Id="rId99" Type="http://schemas.openxmlformats.org/officeDocument/2006/relationships/hyperlink" Target="https://maps.app.goo.gl/pkqEEersFw1PVcw46" TargetMode="External"/><Relationship Id="rId101" Type="http://schemas.openxmlformats.org/officeDocument/2006/relationships/hyperlink" Target="https://maps.app.goo.gl/WMcHssRrSHopYing7" TargetMode="External"/><Relationship Id="rId122" Type="http://schemas.openxmlformats.org/officeDocument/2006/relationships/hyperlink" Target="https://maps.app.goo.gl/GAUzH5M8gzbqXzxp9" TargetMode="External"/><Relationship Id="rId4" Type="http://schemas.openxmlformats.org/officeDocument/2006/relationships/hyperlink" Target="https://maps.app.goo.gl/5AbkQcj4TrNB4v9B8" TargetMode="External"/><Relationship Id="rId9" Type="http://schemas.openxmlformats.org/officeDocument/2006/relationships/hyperlink" Target="https://maps.app.goo.gl/uWDWDgF8z7FAXJLz5" TargetMode="External"/><Relationship Id="rId26" Type="http://schemas.openxmlformats.org/officeDocument/2006/relationships/hyperlink" Target="https://maps.app.goo.gl/uWDWDgF8z7FAXJLz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9.xml"/><Relationship Id="rId13" Type="http://schemas.openxmlformats.org/officeDocument/2006/relationships/table" Target="../tables/table24.xml"/><Relationship Id="rId18" Type="http://schemas.openxmlformats.org/officeDocument/2006/relationships/table" Target="../tables/table29.xml"/><Relationship Id="rId3" Type="http://schemas.openxmlformats.org/officeDocument/2006/relationships/table" Target="../tables/table14.xml"/><Relationship Id="rId21" Type="http://schemas.openxmlformats.org/officeDocument/2006/relationships/table" Target="../tables/table32.xml"/><Relationship Id="rId7" Type="http://schemas.openxmlformats.org/officeDocument/2006/relationships/table" Target="../tables/table18.xml"/><Relationship Id="rId12" Type="http://schemas.openxmlformats.org/officeDocument/2006/relationships/table" Target="../tables/table23.xml"/><Relationship Id="rId17" Type="http://schemas.openxmlformats.org/officeDocument/2006/relationships/table" Target="../tables/table28.xml"/><Relationship Id="rId2" Type="http://schemas.openxmlformats.org/officeDocument/2006/relationships/table" Target="../tables/table13.xml"/><Relationship Id="rId16" Type="http://schemas.openxmlformats.org/officeDocument/2006/relationships/table" Target="../tables/table27.xml"/><Relationship Id="rId20" Type="http://schemas.openxmlformats.org/officeDocument/2006/relationships/table" Target="../tables/table31.xml"/><Relationship Id="rId1" Type="http://schemas.openxmlformats.org/officeDocument/2006/relationships/table" Target="../tables/table12.xml"/><Relationship Id="rId6" Type="http://schemas.openxmlformats.org/officeDocument/2006/relationships/table" Target="../tables/table17.xml"/><Relationship Id="rId11" Type="http://schemas.openxmlformats.org/officeDocument/2006/relationships/table" Target="../tables/table22.xml"/><Relationship Id="rId5" Type="http://schemas.openxmlformats.org/officeDocument/2006/relationships/table" Target="../tables/table16.xml"/><Relationship Id="rId15" Type="http://schemas.openxmlformats.org/officeDocument/2006/relationships/table" Target="../tables/table26.xml"/><Relationship Id="rId10" Type="http://schemas.openxmlformats.org/officeDocument/2006/relationships/table" Target="../tables/table21.xml"/><Relationship Id="rId19" Type="http://schemas.openxmlformats.org/officeDocument/2006/relationships/table" Target="../tables/table30.xml"/><Relationship Id="rId4" Type="http://schemas.openxmlformats.org/officeDocument/2006/relationships/table" Target="../tables/table15.xml"/><Relationship Id="rId9" Type="http://schemas.openxmlformats.org/officeDocument/2006/relationships/table" Target="../tables/table20.xml"/><Relationship Id="rId14" Type="http://schemas.openxmlformats.org/officeDocument/2006/relationships/table" Target="../tables/table25.xml"/><Relationship Id="rId22" Type="http://schemas.openxmlformats.org/officeDocument/2006/relationships/table" Target="../tables/table3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7.xml"/><Relationship Id="rId2" Type="http://schemas.openxmlformats.org/officeDocument/2006/relationships/table" Target="../tables/table36.xml"/><Relationship Id="rId1" Type="http://schemas.openxmlformats.org/officeDocument/2006/relationships/table" Target="../tables/table35.xml"/><Relationship Id="rId4" Type="http://schemas.openxmlformats.org/officeDocument/2006/relationships/table" Target="../tables/table3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9CF38-A2A3-424A-8F08-797B4760F48C}">
  <dimension ref="B1:Q137"/>
  <sheetViews>
    <sheetView showGridLines="0" tabSelected="1" zoomScale="60" zoomScaleNormal="6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E6" sqref="E6"/>
    </sheetView>
  </sheetViews>
  <sheetFormatPr defaultRowHeight="15.5" x14ac:dyDescent="0.35"/>
  <cols>
    <col min="1" max="1" width="4.36328125" style="85" customWidth="1"/>
    <col min="2" max="2" width="7.26953125" style="80" customWidth="1"/>
    <col min="3" max="3" width="14.7265625" style="80" customWidth="1"/>
    <col min="4" max="4" width="29.36328125" style="81" customWidth="1"/>
    <col min="5" max="5" width="20.453125" style="82" customWidth="1"/>
    <col min="6" max="6" width="25" style="81" customWidth="1"/>
    <col min="7" max="7" width="24.1796875" style="83" customWidth="1"/>
    <col min="8" max="8" width="15.7265625" style="84" customWidth="1"/>
    <col min="9" max="9" width="14.1796875" style="84" customWidth="1"/>
    <col min="10" max="10" width="14.1796875" style="81" customWidth="1"/>
    <col min="11" max="11" width="19.6328125" style="81" customWidth="1"/>
    <col min="12" max="12" width="10.36328125" style="1" customWidth="1"/>
    <col min="13" max="13" width="21.453125" style="84" bestFit="1" customWidth="1"/>
    <col min="14" max="14" width="12.81640625" style="84" customWidth="1"/>
    <col min="15" max="15" width="27.7265625" style="85" bestFit="1" customWidth="1"/>
    <col min="16" max="16" width="5.26953125" style="85" customWidth="1"/>
    <col min="17" max="17" width="11.453125" style="1" bestFit="1" customWidth="1"/>
    <col min="18" max="16384" width="8.7265625" style="85"/>
  </cols>
  <sheetData>
    <row r="1" spans="2:17" ht="16" thickBot="1" x14ac:dyDescent="0.4"/>
    <row r="2" spans="2:17" ht="24" thickBot="1" x14ac:dyDescent="0.4">
      <c r="B2" s="105" t="s">
        <v>399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7"/>
    </row>
    <row r="3" spans="2:17" ht="16" thickBot="1" x14ac:dyDescent="0.4">
      <c r="Q3" s="86" t="s">
        <v>5</v>
      </c>
    </row>
    <row r="4" spans="2:17" ht="31.5" thickBot="1" x14ac:dyDescent="0.4">
      <c r="B4" s="87" t="s">
        <v>15</v>
      </c>
      <c r="C4" s="88" t="s">
        <v>161</v>
      </c>
      <c r="D4" s="89" t="s">
        <v>16</v>
      </c>
      <c r="E4" s="90" t="s">
        <v>11</v>
      </c>
      <c r="F4" s="89" t="s">
        <v>22</v>
      </c>
      <c r="G4" s="91" t="s">
        <v>160</v>
      </c>
      <c r="H4" s="92" t="s">
        <v>382</v>
      </c>
      <c r="I4" s="93" t="s">
        <v>23</v>
      </c>
      <c r="J4" s="93" t="s">
        <v>162</v>
      </c>
      <c r="K4" s="93" t="s">
        <v>24</v>
      </c>
      <c r="L4" s="94" t="s">
        <v>25</v>
      </c>
      <c r="M4" s="93" t="s">
        <v>26</v>
      </c>
      <c r="N4" s="89" t="s">
        <v>8</v>
      </c>
      <c r="O4" s="88" t="s">
        <v>205</v>
      </c>
      <c r="Q4" s="95">
        <f>SUM(L5:L142)</f>
        <v>19062</v>
      </c>
    </row>
    <row r="5" spans="2:17" ht="29" x14ac:dyDescent="0.35">
      <c r="B5" s="73">
        <f>IF(Table1[[#This Row],[TANGGAL]]="","",ROW(N1))</f>
        <v>1</v>
      </c>
      <c r="C5" s="74">
        <v>46054</v>
      </c>
      <c r="D5" s="75" t="s">
        <v>3</v>
      </c>
      <c r="E5" s="51" t="str">
        <f>INDEX(Table5[KATEGORI PROGRAM],MATCH(Table1[[#This Row],[NAMA PROGRAM]],Table5[NAMA PROGRAM],0))</f>
        <v>Pendidikan</v>
      </c>
      <c r="F5" s="42" t="s">
        <v>352</v>
      </c>
      <c r="G5" s="76" t="s">
        <v>3</v>
      </c>
      <c r="H5" s="52" t="s">
        <v>82</v>
      </c>
      <c r="I5" s="52" t="str">
        <f>INDEX(Table2[Kecamatan],MATCH(Table1[[#This Row],[KELURAHAN / DESA]],Table2[Kelurahan],0))</f>
        <v>Jakabaring</v>
      </c>
      <c r="J5" s="52" t="str">
        <f>INDEX(Table2[Kabupaten/Kota],MATCH(Table1[[#This Row],[KECAMATAN]],Table2[Kecamatan],0))</f>
        <v>Palembang</v>
      </c>
      <c r="K5" s="75" t="str">
        <f>INDEX(Table2[Provinsi],MATCH(Table1[[#This Row],[KAB./KOTA]],Table2[Kabupaten/Kota],0))</f>
        <v>Sumatera Selatan</v>
      </c>
      <c r="L5" s="43">
        <v>30</v>
      </c>
      <c r="M5" s="52">
        <v>3</v>
      </c>
      <c r="N5" s="52" t="s">
        <v>244</v>
      </c>
      <c r="O5" s="67" t="s">
        <v>206</v>
      </c>
    </row>
    <row r="6" spans="2:17" ht="29" x14ac:dyDescent="0.35">
      <c r="B6" s="73">
        <f>IF(Table1[[#This Row],[TANGGAL]]="","",ROW(N2))</f>
        <v>2</v>
      </c>
      <c r="C6" s="74">
        <v>46054</v>
      </c>
      <c r="D6" s="75" t="s">
        <v>7</v>
      </c>
      <c r="E6" s="51" t="str">
        <f>INDEX(Table5[KATEGORI PROGRAM],MATCH(Table1[[#This Row],[NAMA PROGRAM]],Table5[NAMA PROGRAM],0))</f>
        <v>Pendidikan</v>
      </c>
      <c r="F6" s="42" t="s">
        <v>351</v>
      </c>
      <c r="G6" s="76" t="s">
        <v>237</v>
      </c>
      <c r="H6" s="52" t="s">
        <v>99</v>
      </c>
      <c r="I6" s="52" t="str">
        <f>INDEX(Table2[Kecamatan],MATCH(Table1[[#This Row],[KELURAHAN / DESA]],Table2[Kelurahan],0))</f>
        <v>Kertapati</v>
      </c>
      <c r="J6" s="52" t="str">
        <f>INDEX(Table2[Kabupaten/Kota],MATCH(Table1[[#This Row],[KECAMATAN]],Table2[Kecamatan],0))</f>
        <v>Palembang</v>
      </c>
      <c r="K6" s="75" t="str">
        <f>INDEX(Table2[Provinsi],MATCH(Table1[[#This Row],[KAB./KOTA]],Table2[Kabupaten/Kota],0))</f>
        <v>Sumatera Selatan</v>
      </c>
      <c r="L6" s="43">
        <v>39</v>
      </c>
      <c r="M6" s="52">
        <v>4</v>
      </c>
      <c r="N6" s="52" t="s">
        <v>238</v>
      </c>
      <c r="O6" s="67" t="s">
        <v>206</v>
      </c>
    </row>
    <row r="7" spans="2:17" ht="29" x14ac:dyDescent="0.35">
      <c r="B7" s="73">
        <f>IF(Table1[[#This Row],[TANGGAL]]="","",ROW(N3))</f>
        <v>3</v>
      </c>
      <c r="C7" s="74">
        <v>46054</v>
      </c>
      <c r="D7" s="75" t="s">
        <v>6</v>
      </c>
      <c r="E7" s="51" t="str">
        <f>INDEX(Table5[KATEGORI PROGRAM],MATCH(Table1[[#This Row],[NAMA PROGRAM]],Table5[NAMA PROGRAM],0))</f>
        <v>Pendidikan</v>
      </c>
      <c r="F7" s="42" t="s">
        <v>358</v>
      </c>
      <c r="G7" s="76" t="s">
        <v>242</v>
      </c>
      <c r="H7" s="52" t="s">
        <v>96</v>
      </c>
      <c r="I7" s="52" t="str">
        <f>INDEX(Table2[Kecamatan],MATCH(Table1[[#This Row],[KELURAHAN / DESA]],Table2[Kelurahan],0))</f>
        <v>Kertapati</v>
      </c>
      <c r="J7" s="52" t="str">
        <f>INDEX(Table2[Kabupaten/Kota],MATCH(Table1[[#This Row],[KECAMATAN]],Table2[Kecamatan],0))</f>
        <v>Palembang</v>
      </c>
      <c r="K7" s="75" t="str">
        <f>INDEX(Table2[Provinsi],MATCH(Table1[[#This Row],[KAB./KOTA]],Table2[Kabupaten/Kota],0))</f>
        <v>Sumatera Selatan</v>
      </c>
      <c r="L7" s="43">
        <v>71</v>
      </c>
      <c r="M7" s="52">
        <v>5</v>
      </c>
      <c r="N7" s="52" t="s">
        <v>243</v>
      </c>
      <c r="O7" s="67" t="s">
        <v>206</v>
      </c>
    </row>
    <row r="8" spans="2:17" ht="29" x14ac:dyDescent="0.35">
      <c r="B8" s="73">
        <f>IF(Table1[[#This Row],[TANGGAL]]="","",ROW(N4))</f>
        <v>4</v>
      </c>
      <c r="C8" s="74">
        <v>46054</v>
      </c>
      <c r="D8" s="75" t="s">
        <v>9</v>
      </c>
      <c r="E8" s="51" t="str">
        <f>INDEX(Table5[KATEGORI PROGRAM],MATCH(Table1[[#This Row],[NAMA PROGRAM]],Table5[NAMA PROGRAM],0))</f>
        <v>Pangan</v>
      </c>
      <c r="F8" s="42" t="s">
        <v>358</v>
      </c>
      <c r="G8" s="76" t="s">
        <v>242</v>
      </c>
      <c r="H8" s="52" t="s">
        <v>96</v>
      </c>
      <c r="I8" s="52" t="str">
        <f>INDEX(Table2[Kecamatan],MATCH(Table1[[#This Row],[KELURAHAN / DESA]],Table2[Kelurahan],0))</f>
        <v>Kertapati</v>
      </c>
      <c r="J8" s="52" t="str">
        <f>INDEX(Table2[Kabupaten/Kota],MATCH(Table1[[#This Row],[KECAMATAN]],Table2[Kecamatan],0))</f>
        <v>Palembang</v>
      </c>
      <c r="K8" s="75" t="str">
        <f>INDEX(Table2[Provinsi],MATCH(Table1[[#This Row],[KAB./KOTA]],Table2[Kabupaten/Kota],0))</f>
        <v>Sumatera Selatan</v>
      </c>
      <c r="L8" s="43">
        <v>122</v>
      </c>
      <c r="M8" s="52">
        <v>8</v>
      </c>
      <c r="N8" s="52" t="s">
        <v>401</v>
      </c>
      <c r="O8" s="67" t="s">
        <v>220</v>
      </c>
    </row>
    <row r="9" spans="2:17" ht="29" x14ac:dyDescent="0.35">
      <c r="B9" s="73">
        <f>IF(Table1[[#This Row],[TANGGAL]]="","",ROW(N5))</f>
        <v>5</v>
      </c>
      <c r="C9" s="74">
        <v>46054</v>
      </c>
      <c r="D9" s="75" t="s">
        <v>9</v>
      </c>
      <c r="E9" s="51" t="str">
        <f>INDEX(Table5[KATEGORI PROGRAM],MATCH(Table1[[#This Row],[NAMA PROGRAM]],Table5[NAMA PROGRAM],0))</f>
        <v>Pangan</v>
      </c>
      <c r="F9" s="42" t="s">
        <v>400</v>
      </c>
      <c r="G9" s="76" t="s">
        <v>100</v>
      </c>
      <c r="H9" s="52" t="s">
        <v>100</v>
      </c>
      <c r="I9" s="52" t="str">
        <f>INDEX(Table2[Kecamatan],MATCH(Table1[[#This Row],[KELURAHAN / DESA]],Table2[Kelurahan],0))</f>
        <v>Kertapati</v>
      </c>
      <c r="J9" s="52" t="str">
        <f>INDEX(Table2[Kabupaten/Kota],MATCH(Table1[[#This Row],[KECAMATAN]],Table2[Kecamatan],0))</f>
        <v>Palembang</v>
      </c>
      <c r="K9" s="75" t="str">
        <f>INDEX(Table2[Provinsi],MATCH(Table1[[#This Row],[KAB./KOTA]],Table2[Kabupaten/Kota],0))</f>
        <v>Sumatera Selatan</v>
      </c>
      <c r="L9" s="43">
        <v>115</v>
      </c>
      <c r="M9" s="52">
        <v>8</v>
      </c>
      <c r="N9" s="52" t="s">
        <v>401</v>
      </c>
      <c r="O9" s="67" t="s">
        <v>220</v>
      </c>
    </row>
    <row r="10" spans="2:17" ht="31" x14ac:dyDescent="0.35">
      <c r="B10" s="73">
        <f>IF(Table1[[#This Row],[TANGGAL]]="","",ROW(N6))</f>
        <v>6</v>
      </c>
      <c r="C10" s="74">
        <v>46055</v>
      </c>
      <c r="D10" s="75" t="s">
        <v>390</v>
      </c>
      <c r="E10" s="51" t="str">
        <f>INDEX(Table5[KATEGORI PROGRAM],MATCH(Table1[[#This Row],[NAMA PROGRAM]],Table5[NAMA PROGRAM],0))</f>
        <v>Respon Bencana (Recovery)</v>
      </c>
      <c r="F10" s="42" t="s">
        <v>507</v>
      </c>
      <c r="G10" s="76" t="s">
        <v>508</v>
      </c>
      <c r="H10" s="52" t="s">
        <v>304</v>
      </c>
      <c r="I10" s="52" t="str">
        <f>INDEX(Table2[Kecamatan],MATCH(Table1[[#This Row],[KELURAHAN / DESA]],Table2[Kelurahan],0))</f>
        <v>Kejuruan Muda</v>
      </c>
      <c r="J10" s="52" t="str">
        <f>INDEX(Table2[Kabupaten/Kota],MATCH(Table1[[#This Row],[KECAMATAN]],Table2[Kecamatan],0))</f>
        <v>Aceh Tamiang</v>
      </c>
      <c r="K10" s="75" t="str">
        <f>INDEX(Table2[Provinsi],MATCH(Table1[[#This Row],[KAB./KOTA]],Table2[Kabupaten/Kota],0))</f>
        <v>Nangroe Aceh Darussalam</v>
      </c>
      <c r="L10" s="43">
        <v>37</v>
      </c>
      <c r="M10" s="52" t="s">
        <v>4</v>
      </c>
      <c r="N10" s="52" t="s">
        <v>463</v>
      </c>
      <c r="O10" s="67" t="s">
        <v>220</v>
      </c>
    </row>
    <row r="11" spans="2:17" ht="31" x14ac:dyDescent="0.35">
      <c r="B11" s="73">
        <f>IF(Table1[[#This Row],[TANGGAL]]="","",ROW(N7))</f>
        <v>7</v>
      </c>
      <c r="C11" s="74">
        <v>46055</v>
      </c>
      <c r="D11" s="75" t="s">
        <v>9</v>
      </c>
      <c r="E11" s="51" t="str">
        <f>INDEX(Table5[KATEGORI PROGRAM],MATCH(Table1[[#This Row],[NAMA PROGRAM]],Table5[NAMA PROGRAM],0))</f>
        <v>Pangan</v>
      </c>
      <c r="F11" s="42" t="s">
        <v>355</v>
      </c>
      <c r="G11" s="76" t="s">
        <v>356</v>
      </c>
      <c r="H11" s="52" t="s">
        <v>96</v>
      </c>
      <c r="I11" s="52" t="str">
        <f>INDEX(Table2[Kecamatan],MATCH(Table1[[#This Row],[KELURAHAN / DESA]],Table2[Kelurahan],0))</f>
        <v>Kertapati</v>
      </c>
      <c r="J11" s="52" t="str">
        <f>INDEX(Table2[Kabupaten/Kota],MATCH(Table1[[#This Row],[KECAMATAN]],Table2[Kecamatan],0))</f>
        <v>Palembang</v>
      </c>
      <c r="K11" s="75" t="str">
        <f>INDEX(Table2[Provinsi],MATCH(Table1[[#This Row],[KAB./KOTA]],Table2[Kabupaten/Kota],0))</f>
        <v>Sumatera Selatan</v>
      </c>
      <c r="L11" s="43">
        <v>25</v>
      </c>
      <c r="M11" s="52">
        <v>3</v>
      </c>
      <c r="N11" s="52" t="s">
        <v>354</v>
      </c>
      <c r="O11" s="67" t="s">
        <v>206</v>
      </c>
    </row>
    <row r="12" spans="2:17" ht="29" x14ac:dyDescent="0.35">
      <c r="B12" s="73">
        <f>IF(Table1[[#This Row],[TANGGAL]]="","",ROW(N8))</f>
        <v>8</v>
      </c>
      <c r="C12" s="74">
        <v>46055</v>
      </c>
      <c r="D12" s="75" t="s">
        <v>9</v>
      </c>
      <c r="E12" s="51" t="str">
        <f>INDEX(Table5[KATEGORI PROGRAM],MATCH(Table1[[#This Row],[NAMA PROGRAM]],Table5[NAMA PROGRAM],0))</f>
        <v>Pangan</v>
      </c>
      <c r="F12" s="42" t="s">
        <v>402</v>
      </c>
      <c r="G12" s="76" t="s">
        <v>99</v>
      </c>
      <c r="H12" s="52" t="s">
        <v>99</v>
      </c>
      <c r="I12" s="52" t="str">
        <f>INDEX(Table2[Kecamatan],MATCH(Table1[[#This Row],[KELURAHAN / DESA]],Table2[Kelurahan],0))</f>
        <v>Kertapati</v>
      </c>
      <c r="J12" s="52" t="str">
        <f>INDEX(Table2[Kabupaten/Kota],MATCH(Table1[[#This Row],[KECAMATAN]],Table2[Kecamatan],0))</f>
        <v>Palembang</v>
      </c>
      <c r="K12" s="75" t="str">
        <f>INDEX(Table2[Provinsi],MATCH(Table1[[#This Row],[KAB./KOTA]],Table2[Kabupaten/Kota],0))</f>
        <v>Sumatera Selatan</v>
      </c>
      <c r="L12" s="43">
        <v>120</v>
      </c>
      <c r="M12" s="52">
        <v>8</v>
      </c>
      <c r="N12" s="52" t="s">
        <v>401</v>
      </c>
      <c r="O12" s="67" t="s">
        <v>220</v>
      </c>
    </row>
    <row r="13" spans="2:17" ht="31" x14ac:dyDescent="0.35">
      <c r="B13" s="73">
        <f>IF(Table1[[#This Row],[TANGGAL]]="","",ROW(N9))</f>
        <v>9</v>
      </c>
      <c r="C13" s="74">
        <v>46056</v>
      </c>
      <c r="D13" s="75" t="s">
        <v>9</v>
      </c>
      <c r="E13" s="51" t="str">
        <f>INDEX(Table5[KATEGORI PROGRAM],MATCH(Table1[[#This Row],[NAMA PROGRAM]],Table5[NAMA PROGRAM],0))</f>
        <v>Pangan</v>
      </c>
      <c r="F13" s="42" t="s">
        <v>351</v>
      </c>
      <c r="G13" s="76" t="s">
        <v>357</v>
      </c>
      <c r="H13" s="52" t="s">
        <v>99</v>
      </c>
      <c r="I13" s="52" t="str">
        <f>INDEX(Table2[Kecamatan],MATCH(Table1[[#This Row],[KELURAHAN / DESA]],Table2[Kelurahan],0))</f>
        <v>Kertapati</v>
      </c>
      <c r="J13" s="52" t="str">
        <f>INDEX(Table2[Kabupaten/Kota],MATCH(Table1[[#This Row],[KECAMATAN]],Table2[Kecamatan],0))</f>
        <v>Palembang</v>
      </c>
      <c r="K13" s="75" t="str">
        <f>INDEX(Table2[Provinsi],MATCH(Table1[[#This Row],[KAB./KOTA]],Table2[Kabupaten/Kota],0))</f>
        <v>Sumatera Selatan</v>
      </c>
      <c r="L13" s="43">
        <v>39</v>
      </c>
      <c r="M13" s="52">
        <v>4</v>
      </c>
      <c r="N13" s="52" t="s">
        <v>354</v>
      </c>
      <c r="O13" s="67" t="s">
        <v>206</v>
      </c>
    </row>
    <row r="14" spans="2:17" ht="29" x14ac:dyDescent="0.35">
      <c r="B14" s="73">
        <f>IF(Table1[[#This Row],[TANGGAL]]="","",ROW(N10))</f>
        <v>10</v>
      </c>
      <c r="C14" s="74">
        <v>46056</v>
      </c>
      <c r="D14" s="75" t="s">
        <v>9</v>
      </c>
      <c r="E14" s="51" t="str">
        <f>INDEX(Table5[KATEGORI PROGRAM],MATCH(Table1[[#This Row],[NAMA PROGRAM]],Table5[NAMA PROGRAM],0))</f>
        <v>Pangan</v>
      </c>
      <c r="F14" s="42" t="s">
        <v>351</v>
      </c>
      <c r="G14" s="76" t="s">
        <v>309</v>
      </c>
      <c r="H14" s="52" t="s">
        <v>99</v>
      </c>
      <c r="I14" s="52" t="str">
        <f>INDEX(Table2[Kecamatan],MATCH(Table1[[#This Row],[KELURAHAN / DESA]],Table2[Kelurahan],0))</f>
        <v>Kertapati</v>
      </c>
      <c r="J14" s="52" t="str">
        <f>INDEX(Table2[Kabupaten/Kota],MATCH(Table1[[#This Row],[KECAMATAN]],Table2[Kecamatan],0))</f>
        <v>Palembang</v>
      </c>
      <c r="K14" s="75" t="str">
        <f>INDEX(Table2[Provinsi],MATCH(Table1[[#This Row],[KAB./KOTA]],Table2[Kabupaten/Kota],0))</f>
        <v>Sumatera Selatan</v>
      </c>
      <c r="L14" s="43">
        <v>81</v>
      </c>
      <c r="M14" s="52">
        <v>5</v>
      </c>
      <c r="N14" s="52" t="s">
        <v>353</v>
      </c>
      <c r="O14" s="67" t="s">
        <v>209</v>
      </c>
    </row>
    <row r="15" spans="2:17" ht="31" x14ac:dyDescent="0.35">
      <c r="B15" s="73">
        <f>IF(Table1[[#This Row],[TANGGAL]]="","",ROW(N11))</f>
        <v>11</v>
      </c>
      <c r="C15" s="74">
        <v>46057</v>
      </c>
      <c r="D15" s="75" t="s">
        <v>9</v>
      </c>
      <c r="E15" s="51" t="str">
        <f>INDEX(Table5[KATEGORI PROGRAM],MATCH(Table1[[#This Row],[NAMA PROGRAM]],Table5[NAMA PROGRAM],0))</f>
        <v>Pangan</v>
      </c>
      <c r="F15" s="42" t="s">
        <v>355</v>
      </c>
      <c r="G15" s="76" t="s">
        <v>356</v>
      </c>
      <c r="H15" s="52" t="s">
        <v>96</v>
      </c>
      <c r="I15" s="52" t="str">
        <f>INDEX(Table2[Kecamatan],MATCH(Table1[[#This Row],[KELURAHAN / DESA]],Table2[Kelurahan],0))</f>
        <v>Kertapati</v>
      </c>
      <c r="J15" s="52" t="str">
        <f>INDEX(Table2[Kabupaten/Kota],MATCH(Table1[[#This Row],[KECAMATAN]],Table2[Kecamatan],0))</f>
        <v>Palembang</v>
      </c>
      <c r="K15" s="75" t="str">
        <f>INDEX(Table2[Provinsi],MATCH(Table1[[#This Row],[KAB./KOTA]],Table2[Kabupaten/Kota],0))</f>
        <v>Sumatera Selatan</v>
      </c>
      <c r="L15" s="43">
        <v>25</v>
      </c>
      <c r="M15" s="52">
        <v>3</v>
      </c>
      <c r="N15" s="52" t="s">
        <v>354</v>
      </c>
      <c r="O15" s="67" t="s">
        <v>206</v>
      </c>
    </row>
    <row r="16" spans="2:17" ht="29" x14ac:dyDescent="0.35">
      <c r="B16" s="73">
        <f>IF(Table1[[#This Row],[TANGGAL]]="","",ROW(N12))</f>
        <v>12</v>
      </c>
      <c r="C16" s="74">
        <v>46057</v>
      </c>
      <c r="D16" s="75" t="s">
        <v>9</v>
      </c>
      <c r="E16" s="51" t="str">
        <f>INDEX(Table5[KATEGORI PROGRAM],MATCH(Table1[[#This Row],[NAMA PROGRAM]],Table5[NAMA PROGRAM],0))</f>
        <v>Pangan</v>
      </c>
      <c r="F16" s="42" t="s">
        <v>351</v>
      </c>
      <c r="G16" s="76" t="s">
        <v>309</v>
      </c>
      <c r="H16" s="52" t="s">
        <v>99</v>
      </c>
      <c r="I16" s="52" t="str">
        <f>INDEX(Table2[Kecamatan],MATCH(Table1[[#This Row],[KELURAHAN / DESA]],Table2[Kelurahan],0))</f>
        <v>Kertapati</v>
      </c>
      <c r="J16" s="52" t="str">
        <f>INDEX(Table2[Kabupaten/Kota],MATCH(Table1[[#This Row],[KECAMATAN]],Table2[Kecamatan],0))</f>
        <v>Palembang</v>
      </c>
      <c r="K16" s="75" t="str">
        <f>INDEX(Table2[Provinsi],MATCH(Table1[[#This Row],[KAB./KOTA]],Table2[Kabupaten/Kota],0))</f>
        <v>Sumatera Selatan</v>
      </c>
      <c r="L16" s="43">
        <v>77</v>
      </c>
      <c r="M16" s="52">
        <v>5</v>
      </c>
      <c r="N16" s="52" t="s">
        <v>353</v>
      </c>
      <c r="O16" s="67" t="s">
        <v>206</v>
      </c>
    </row>
    <row r="17" spans="2:17" ht="31" x14ac:dyDescent="0.35">
      <c r="B17" s="73">
        <f>IF(Table1[[#This Row],[TANGGAL]]="","",ROW(N13))</f>
        <v>13</v>
      </c>
      <c r="C17" s="74">
        <v>46058</v>
      </c>
      <c r="D17" s="75" t="s">
        <v>390</v>
      </c>
      <c r="E17" s="51" t="str">
        <f>INDEX(Table5[KATEGORI PROGRAM],MATCH(Table1[[#This Row],[NAMA PROGRAM]],Table5[NAMA PROGRAM],0))</f>
        <v>Respon Bencana (Recovery)</v>
      </c>
      <c r="F17" s="42" t="s">
        <v>507</v>
      </c>
      <c r="G17" s="76" t="s">
        <v>508</v>
      </c>
      <c r="H17" s="52" t="s">
        <v>304</v>
      </c>
      <c r="I17" s="52" t="str">
        <f>INDEX(Table2[Kecamatan],MATCH(Table1[[#This Row],[KELURAHAN / DESA]],Table2[Kelurahan],0))</f>
        <v>Kejuruan Muda</v>
      </c>
      <c r="J17" s="52" t="str">
        <f>INDEX(Table2[Kabupaten/Kota],MATCH(Table1[[#This Row],[KECAMATAN]],Table2[Kecamatan],0))</f>
        <v>Aceh Tamiang</v>
      </c>
      <c r="K17" s="75" t="str">
        <f>INDEX(Table2[Provinsi],MATCH(Table1[[#This Row],[KAB./KOTA]],Table2[Kabupaten/Kota],0))</f>
        <v>Nangroe Aceh Darussalam</v>
      </c>
      <c r="L17" s="43">
        <v>57</v>
      </c>
      <c r="M17" s="52" t="s">
        <v>511</v>
      </c>
      <c r="N17" s="52" t="s">
        <v>463</v>
      </c>
      <c r="O17" s="67" t="s">
        <v>220</v>
      </c>
    </row>
    <row r="18" spans="2:17" ht="29" x14ac:dyDescent="0.35">
      <c r="B18" s="73">
        <f>IF(Table1[[#This Row],[TANGGAL]]="","",ROW(N14))</f>
        <v>14</v>
      </c>
      <c r="C18" s="74">
        <v>46058</v>
      </c>
      <c r="D18" s="75" t="s">
        <v>2</v>
      </c>
      <c r="E18" s="51" t="str">
        <f>INDEX(Table5[KATEGORI PROGRAM],MATCH(Table1[[#This Row],[NAMA PROGRAM]],Table5[NAMA PROGRAM],0))</f>
        <v>Pendidikan</v>
      </c>
      <c r="F18" s="42" t="s">
        <v>403</v>
      </c>
      <c r="G18" s="76" t="s">
        <v>404</v>
      </c>
      <c r="H18" s="52" t="s">
        <v>99</v>
      </c>
      <c r="I18" s="52" t="str">
        <f>INDEX(Table2[Kecamatan],MATCH(Table1[[#This Row],[KELURAHAN / DESA]],Table2[Kelurahan],0))</f>
        <v>Kertapati</v>
      </c>
      <c r="J18" s="52" t="str">
        <f>INDEX(Table2[Kabupaten/Kota],MATCH(Table1[[#This Row],[KECAMATAN]],Table2[Kecamatan],0))</f>
        <v>Palembang</v>
      </c>
      <c r="K18" s="75" t="str">
        <f>INDEX(Table2[Provinsi],MATCH(Table1[[#This Row],[KAB./KOTA]],Table2[Kabupaten/Kota],0))</f>
        <v>Sumatera Selatan</v>
      </c>
      <c r="L18" s="43">
        <v>64</v>
      </c>
      <c r="M18" s="52">
        <v>5</v>
      </c>
      <c r="N18" s="52" t="s">
        <v>405</v>
      </c>
      <c r="O18" s="67" t="s">
        <v>206</v>
      </c>
    </row>
    <row r="19" spans="2:17" ht="29" x14ac:dyDescent="0.35">
      <c r="B19" s="73">
        <f>IF(Table1[[#This Row],[TANGGAL]]="","",ROW(N15))</f>
        <v>15</v>
      </c>
      <c r="C19" s="74">
        <v>46058</v>
      </c>
      <c r="D19" s="75" t="s">
        <v>7</v>
      </c>
      <c r="E19" s="51" t="str">
        <f>INDEX(Table5[KATEGORI PROGRAM],MATCH(Table1[[#This Row],[NAMA PROGRAM]],Table5[NAMA PROGRAM],0))</f>
        <v>Pendidikan</v>
      </c>
      <c r="F19" s="42" t="s">
        <v>351</v>
      </c>
      <c r="G19" s="76" t="s">
        <v>237</v>
      </c>
      <c r="H19" s="52" t="s">
        <v>99</v>
      </c>
      <c r="I19" s="52" t="str">
        <f>INDEX(Table2[Kecamatan],MATCH(Table1[[#This Row],[KELURAHAN / DESA]],Table2[Kelurahan],0))</f>
        <v>Kertapati</v>
      </c>
      <c r="J19" s="52" t="str">
        <f>INDEX(Table2[Kabupaten/Kota],MATCH(Table1[[#This Row],[KECAMATAN]],Table2[Kecamatan],0))</f>
        <v>Palembang</v>
      </c>
      <c r="K19" s="75" t="str">
        <f>INDEX(Table2[Provinsi],MATCH(Table1[[#This Row],[KAB./KOTA]],Table2[Kabupaten/Kota],0))</f>
        <v>Sumatera Selatan</v>
      </c>
      <c r="L19" s="43">
        <v>44</v>
      </c>
      <c r="M19" s="52">
        <v>4</v>
      </c>
      <c r="N19" s="52" t="s">
        <v>238</v>
      </c>
      <c r="O19" s="67" t="s">
        <v>206</v>
      </c>
    </row>
    <row r="20" spans="2:17" ht="29" x14ac:dyDescent="0.35">
      <c r="B20" s="73">
        <f>IF(Table1[[#This Row],[TANGGAL]]="","",ROW(N16))</f>
        <v>16</v>
      </c>
      <c r="C20" s="74">
        <v>46058</v>
      </c>
      <c r="D20" s="75" t="s">
        <v>6</v>
      </c>
      <c r="E20" s="51" t="str">
        <f>INDEX(Table5[KATEGORI PROGRAM],MATCH(Table1[[#This Row],[NAMA PROGRAM]],Table5[NAMA PROGRAM],0))</f>
        <v>Pendidikan</v>
      </c>
      <c r="F20" s="42" t="s">
        <v>358</v>
      </c>
      <c r="G20" s="76" t="s">
        <v>242</v>
      </c>
      <c r="H20" s="52" t="s">
        <v>96</v>
      </c>
      <c r="I20" s="52" t="str">
        <f>INDEX(Table2[Kecamatan],MATCH(Table1[[#This Row],[KELURAHAN / DESA]],Table2[Kelurahan],0))</f>
        <v>Kertapati</v>
      </c>
      <c r="J20" s="52" t="str">
        <f>INDEX(Table2[Kabupaten/Kota],MATCH(Table1[[#This Row],[KECAMATAN]],Table2[Kecamatan],0))</f>
        <v>Palembang</v>
      </c>
      <c r="K20" s="75" t="str">
        <f>INDEX(Table2[Provinsi],MATCH(Table1[[#This Row],[KAB./KOTA]],Table2[Kabupaten/Kota],0))</f>
        <v>Sumatera Selatan</v>
      </c>
      <c r="L20" s="43">
        <v>85</v>
      </c>
      <c r="M20" s="52">
        <v>6</v>
      </c>
      <c r="N20" s="52" t="s">
        <v>243</v>
      </c>
      <c r="O20" s="67" t="s">
        <v>206</v>
      </c>
    </row>
    <row r="21" spans="2:17" ht="29" x14ac:dyDescent="0.35">
      <c r="B21" s="73">
        <f>IF(Table1[[#This Row],[TANGGAL]]="","",ROW(N17))</f>
        <v>17</v>
      </c>
      <c r="C21" s="74">
        <v>46058</v>
      </c>
      <c r="D21" s="75" t="s">
        <v>9</v>
      </c>
      <c r="E21" s="51" t="str">
        <f>INDEX(Table5[KATEGORI PROGRAM],MATCH(Table1[[#This Row],[NAMA PROGRAM]],Table5[NAMA PROGRAM],0))</f>
        <v>Pangan</v>
      </c>
      <c r="F21" s="42" t="s">
        <v>409</v>
      </c>
      <c r="G21" s="76" t="s">
        <v>406</v>
      </c>
      <c r="H21" s="52" t="s">
        <v>38</v>
      </c>
      <c r="I21" s="52" t="str">
        <f>INDEX(Table2[Kecamatan],MATCH(Table1[[#This Row],[KELURAHAN / DESA]],Table2[Kelurahan],0))</f>
        <v>Bukit Kecil</v>
      </c>
      <c r="J21" s="52" t="str">
        <f>INDEX(Table2[Kabupaten/Kota],MATCH(Table1[[#This Row],[KECAMATAN]],Table2[Kecamatan],0))</f>
        <v>Palembang</v>
      </c>
      <c r="K21" s="75" t="str">
        <f>INDEX(Table2[Provinsi],MATCH(Table1[[#This Row],[KAB./KOTA]],Table2[Kabupaten/Kota],0))</f>
        <v>Sumatera Selatan</v>
      </c>
      <c r="L21" s="43">
        <v>150</v>
      </c>
      <c r="M21" s="52">
        <v>15</v>
      </c>
      <c r="N21" s="52" t="s">
        <v>401</v>
      </c>
      <c r="O21" s="67" t="s">
        <v>220</v>
      </c>
    </row>
    <row r="22" spans="2:17" ht="31" x14ac:dyDescent="0.35">
      <c r="B22" s="73">
        <f>IF(Table1[[#This Row],[TANGGAL]]="","",ROW(N18))</f>
        <v>18</v>
      </c>
      <c r="C22" s="74">
        <v>46058</v>
      </c>
      <c r="D22" s="75" t="s">
        <v>9</v>
      </c>
      <c r="E22" s="51" t="str">
        <f>INDEX(Table5[KATEGORI PROGRAM],MATCH(Table1[[#This Row],[NAMA PROGRAM]],Table5[NAMA PROGRAM],0))</f>
        <v>Pangan</v>
      </c>
      <c r="F22" s="42" t="s">
        <v>410</v>
      </c>
      <c r="G22" s="76" t="s">
        <v>407</v>
      </c>
      <c r="H22" s="52" t="s">
        <v>49</v>
      </c>
      <c r="I22" s="52" t="str">
        <f>INDEX(Table2[Kecamatan],MATCH(Table1[[#This Row],[KELURAHAN / DESA]],Table2[Kelurahan],0))</f>
        <v>Ilir Barat I</v>
      </c>
      <c r="J22" s="52" t="str">
        <f>INDEX(Table2[Kabupaten/Kota],MATCH(Table1[[#This Row],[KECAMATAN]],Table2[Kecamatan],0))</f>
        <v>Palembang</v>
      </c>
      <c r="K22" s="75" t="str">
        <f>INDEX(Table2[Provinsi],MATCH(Table1[[#This Row],[KAB./KOTA]],Table2[Kabupaten/Kota],0))</f>
        <v>Sumatera Selatan</v>
      </c>
      <c r="L22" s="43">
        <v>250</v>
      </c>
      <c r="M22" s="52">
        <v>20</v>
      </c>
      <c r="N22" s="52" t="s">
        <v>408</v>
      </c>
      <c r="O22" s="67" t="s">
        <v>212</v>
      </c>
    </row>
    <row r="23" spans="2:17" ht="31" x14ac:dyDescent="0.35">
      <c r="B23" s="73">
        <f>IF(Table1[[#This Row],[TANGGAL]]="","",ROW(N19))</f>
        <v>19</v>
      </c>
      <c r="C23" s="74">
        <v>46059</v>
      </c>
      <c r="D23" s="75" t="s">
        <v>390</v>
      </c>
      <c r="E23" s="51" t="str">
        <f>INDEX(Table5[KATEGORI PROGRAM],MATCH(Table1[[#This Row],[NAMA PROGRAM]],Table5[NAMA PROGRAM],0))</f>
        <v>Respon Bencana (Recovery)</v>
      </c>
      <c r="F23" s="42" t="s">
        <v>507</v>
      </c>
      <c r="G23" s="76" t="s">
        <v>508</v>
      </c>
      <c r="H23" s="52" t="s">
        <v>304</v>
      </c>
      <c r="I23" s="52" t="str">
        <f>INDEX(Table2[Kecamatan],MATCH(Table1[[#This Row],[KELURAHAN / DESA]],Table2[Kelurahan],0))</f>
        <v>Kejuruan Muda</v>
      </c>
      <c r="J23" s="52" t="str">
        <f>INDEX(Table2[Kabupaten/Kota],MATCH(Table1[[#This Row],[KECAMATAN]],Table2[Kecamatan],0))</f>
        <v>Aceh Tamiang</v>
      </c>
      <c r="K23" s="75" t="str">
        <f>INDEX(Table2[Provinsi],MATCH(Table1[[#This Row],[KAB./KOTA]],Table2[Kabupaten/Kota],0))</f>
        <v>Nangroe Aceh Darussalam</v>
      </c>
      <c r="L23" s="43">
        <v>58</v>
      </c>
      <c r="M23" s="52" t="s">
        <v>4</v>
      </c>
      <c r="N23" s="52" t="s">
        <v>463</v>
      </c>
      <c r="O23" s="67" t="s">
        <v>220</v>
      </c>
    </row>
    <row r="24" spans="2:17" ht="29" x14ac:dyDescent="0.35">
      <c r="B24" s="73">
        <f>IF(Table1[[#This Row],[TANGGAL]]="","",ROW(N20))</f>
        <v>20</v>
      </c>
      <c r="C24" s="74">
        <v>46059</v>
      </c>
      <c r="D24" s="75" t="s">
        <v>0</v>
      </c>
      <c r="E24" s="51" t="str">
        <f>INDEX(Table5[KATEGORI PROGRAM],MATCH(Table1[[#This Row],[NAMA PROGRAM]],Table5[NAMA PROGRAM],0))</f>
        <v>Pangan</v>
      </c>
      <c r="F24" s="42" t="s">
        <v>413</v>
      </c>
      <c r="G24" s="76" t="s">
        <v>414</v>
      </c>
      <c r="H24" s="52" t="s">
        <v>99</v>
      </c>
      <c r="I24" s="52" t="str">
        <f>INDEX(Table2[Kecamatan],MATCH(Table1[[#This Row],[KELURAHAN / DESA]],Table2[Kelurahan],0))</f>
        <v>Kertapati</v>
      </c>
      <c r="J24" s="52" t="str">
        <f>INDEX(Table2[Kabupaten/Kota],MATCH(Table1[[#This Row],[KECAMATAN]],Table2[Kecamatan],0))</f>
        <v>Palembang</v>
      </c>
      <c r="K24" s="75" t="str">
        <f>INDEX(Table2[Provinsi],MATCH(Table1[[#This Row],[KAB./KOTA]],Table2[Kabupaten/Kota],0))</f>
        <v>Sumatera Selatan</v>
      </c>
      <c r="L24" s="43">
        <v>110</v>
      </c>
      <c r="M24" s="52" t="s">
        <v>416</v>
      </c>
      <c r="N24" s="52" t="s">
        <v>408</v>
      </c>
      <c r="O24" s="67" t="s">
        <v>210</v>
      </c>
    </row>
    <row r="25" spans="2:17" ht="29" x14ac:dyDescent="0.35">
      <c r="B25" s="73">
        <f>IF(Table1[[#This Row],[TANGGAL]]="","",ROW(N21))</f>
        <v>21</v>
      </c>
      <c r="C25" s="74">
        <v>46059</v>
      </c>
      <c r="D25" s="75" t="s">
        <v>0</v>
      </c>
      <c r="E25" s="51" t="str">
        <f>INDEX(Table5[KATEGORI PROGRAM],MATCH(Table1[[#This Row],[NAMA PROGRAM]],Table5[NAMA PROGRAM],0))</f>
        <v>Pangan</v>
      </c>
      <c r="F25" s="42" t="s">
        <v>358</v>
      </c>
      <c r="G25" s="76" t="s">
        <v>242</v>
      </c>
      <c r="H25" s="52" t="s">
        <v>96</v>
      </c>
      <c r="I25" s="52" t="str">
        <f>INDEX(Table2[Kecamatan],MATCH(Table1[[#This Row],[KELURAHAN / DESA]],Table2[Kelurahan],0))</f>
        <v>Kertapati</v>
      </c>
      <c r="J25" s="52" t="str">
        <f>INDEX(Table2[Kabupaten/Kota],MATCH(Table1[[#This Row],[KECAMATAN]],Table2[Kecamatan],0))</f>
        <v>Palembang</v>
      </c>
      <c r="K25" s="75" t="str">
        <f>INDEX(Table2[Provinsi],MATCH(Table1[[#This Row],[KAB./KOTA]],Table2[Kabupaten/Kota],0))</f>
        <v>Sumatera Selatan</v>
      </c>
      <c r="L25" s="43">
        <v>100</v>
      </c>
      <c r="M25" s="52" t="s">
        <v>416</v>
      </c>
      <c r="N25" s="52" t="s">
        <v>243</v>
      </c>
      <c r="O25" s="67" t="s">
        <v>206</v>
      </c>
    </row>
    <row r="26" spans="2:17" ht="29" x14ac:dyDescent="0.35">
      <c r="B26" s="73">
        <f>IF(Table1[[#This Row],[TANGGAL]]="","",ROW(N22))</f>
        <v>22</v>
      </c>
      <c r="C26" s="74">
        <v>46059</v>
      </c>
      <c r="D26" s="75" t="s">
        <v>0</v>
      </c>
      <c r="E26" s="51" t="str">
        <f>INDEX(Table5[KATEGORI PROGRAM],MATCH(Table1[[#This Row],[NAMA PROGRAM]],Table5[NAMA PROGRAM],0))</f>
        <v>Pangan</v>
      </c>
      <c r="F26" s="42" t="s">
        <v>411</v>
      </c>
      <c r="G26" s="76" t="s">
        <v>412</v>
      </c>
      <c r="H26" s="52" t="s">
        <v>166</v>
      </c>
      <c r="I26" s="52" t="str">
        <f>INDEX(Table2[Kecamatan],MATCH(Table1[[#This Row],[KELURAHAN / DESA]],Table2[Kelurahan],0))</f>
        <v>Talang Kelapa</v>
      </c>
      <c r="J26" s="52" t="str">
        <f>INDEX(Table2[Kabupaten/Kota],MATCH(Table1[[#This Row],[KECAMATAN]],Table2[Kecamatan],0))</f>
        <v>Banyuasin</v>
      </c>
      <c r="K26" s="75" t="str">
        <f>INDEX(Table2[Provinsi],MATCH(Table1[[#This Row],[KAB./KOTA]],Table2[Kabupaten/Kota],0))</f>
        <v>Sumatera Selatan</v>
      </c>
      <c r="L26" s="43">
        <v>150</v>
      </c>
      <c r="M26" s="52" t="s">
        <v>415</v>
      </c>
      <c r="N26" s="52" t="s">
        <v>408</v>
      </c>
      <c r="O26" s="67" t="s">
        <v>208</v>
      </c>
    </row>
    <row r="27" spans="2:17" ht="29" x14ac:dyDescent="0.35">
      <c r="B27" s="73">
        <f>IF(Table1[[#This Row],[TANGGAL]]="","",ROW(N23))</f>
        <v>23</v>
      </c>
      <c r="C27" s="74">
        <v>46059</v>
      </c>
      <c r="D27" s="75" t="s">
        <v>0</v>
      </c>
      <c r="E27" s="51" t="str">
        <f>INDEX(Table5[KATEGORI PROGRAM],MATCH(Table1[[#This Row],[NAMA PROGRAM]],Table5[NAMA PROGRAM],0))</f>
        <v>Pangan</v>
      </c>
      <c r="F27" s="42" t="s">
        <v>351</v>
      </c>
      <c r="G27" s="76" t="s">
        <v>309</v>
      </c>
      <c r="H27" s="52" t="s">
        <v>99</v>
      </c>
      <c r="I27" s="52" t="str">
        <f>INDEX(Table2[Kecamatan],MATCH(Table1[[#This Row],[KELURAHAN / DESA]],Table2[Kelurahan],0))</f>
        <v>Kertapati</v>
      </c>
      <c r="J27" s="52" t="str">
        <f>INDEX(Table2[Kabupaten/Kota],MATCH(Table1[[#This Row],[KECAMATAN]],Table2[Kecamatan],0))</f>
        <v>Palembang</v>
      </c>
      <c r="K27" s="75" t="str">
        <f>INDEX(Table2[Provinsi],MATCH(Table1[[#This Row],[KAB./KOTA]],Table2[Kabupaten/Kota],0))</f>
        <v>Sumatera Selatan</v>
      </c>
      <c r="L27" s="43">
        <v>120</v>
      </c>
      <c r="M27" s="52" t="s">
        <v>415</v>
      </c>
      <c r="N27" s="52" t="s">
        <v>353</v>
      </c>
      <c r="O27" s="67" t="s">
        <v>209</v>
      </c>
    </row>
    <row r="28" spans="2:17" ht="31" x14ac:dyDescent="0.35">
      <c r="B28" s="73">
        <f>IF(Table1[[#This Row],[TANGGAL]]="","",ROW(N24))</f>
        <v>24</v>
      </c>
      <c r="C28" s="74">
        <v>46059</v>
      </c>
      <c r="D28" s="75" t="s">
        <v>9</v>
      </c>
      <c r="E28" s="51" t="str">
        <f>INDEX(Table5[KATEGORI PROGRAM],MATCH(Table1[[#This Row],[NAMA PROGRAM]],Table5[NAMA PROGRAM],0))</f>
        <v>Pangan</v>
      </c>
      <c r="F28" s="42" t="s">
        <v>355</v>
      </c>
      <c r="G28" s="76" t="s">
        <v>356</v>
      </c>
      <c r="H28" s="52" t="s">
        <v>96</v>
      </c>
      <c r="I28" s="52" t="str">
        <f>INDEX(Table2[Kecamatan],MATCH(Table1[[#This Row],[KELURAHAN / DESA]],Table2[Kelurahan],0))</f>
        <v>Kertapati</v>
      </c>
      <c r="J28" s="52" t="str">
        <f>INDEX(Table2[Kabupaten/Kota],MATCH(Table1[[#This Row],[KECAMATAN]],Table2[Kecamatan],0))</f>
        <v>Palembang</v>
      </c>
      <c r="K28" s="75" t="str">
        <f>INDEX(Table2[Provinsi],MATCH(Table1[[#This Row],[KAB./KOTA]],Table2[Kabupaten/Kota],0))</f>
        <v>Sumatera Selatan</v>
      </c>
      <c r="L28" s="43">
        <v>24</v>
      </c>
      <c r="M28" s="52">
        <v>3</v>
      </c>
      <c r="N28" s="52" t="s">
        <v>354</v>
      </c>
      <c r="O28" s="67" t="s">
        <v>206</v>
      </c>
    </row>
    <row r="29" spans="2:17" ht="31" x14ac:dyDescent="0.35">
      <c r="B29" s="73">
        <f>IF(Table1[[#This Row],[TANGGAL]]="","",ROW(N25))</f>
        <v>25</v>
      </c>
      <c r="C29" s="74">
        <v>46059</v>
      </c>
      <c r="D29" s="75" t="s">
        <v>9</v>
      </c>
      <c r="E29" s="51" t="str">
        <f>INDEX(Table5[KATEGORI PROGRAM],MATCH(Table1[[#This Row],[NAMA PROGRAM]],Table5[NAMA PROGRAM],0))</f>
        <v>Pangan</v>
      </c>
      <c r="F29" s="42" t="s">
        <v>351</v>
      </c>
      <c r="G29" s="76" t="s">
        <v>357</v>
      </c>
      <c r="H29" s="52" t="s">
        <v>99</v>
      </c>
      <c r="I29" s="52" t="str">
        <f>INDEX(Table2[Kecamatan],MATCH(Table1[[#This Row],[KELURAHAN / DESA]],Table2[Kelurahan],0))</f>
        <v>Kertapati</v>
      </c>
      <c r="J29" s="52" t="str">
        <f>INDEX(Table2[Kabupaten/Kota],MATCH(Table1[[#This Row],[KECAMATAN]],Table2[Kecamatan],0))</f>
        <v>Palembang</v>
      </c>
      <c r="K29" s="75" t="str">
        <f>INDEX(Table2[Provinsi],MATCH(Table1[[#This Row],[KAB./KOTA]],Table2[Kabupaten/Kota],0))</f>
        <v>Sumatera Selatan</v>
      </c>
      <c r="L29" s="43">
        <v>39</v>
      </c>
      <c r="M29" s="52">
        <v>4</v>
      </c>
      <c r="N29" s="52" t="s">
        <v>354</v>
      </c>
      <c r="O29" s="67" t="s">
        <v>206</v>
      </c>
      <c r="Q29" s="1" t="s">
        <v>378</v>
      </c>
    </row>
    <row r="30" spans="2:17" ht="29" x14ac:dyDescent="0.35">
      <c r="B30" s="73">
        <f>IF(Table1[[#This Row],[TANGGAL]]="","",ROW(N26))</f>
        <v>26</v>
      </c>
      <c r="C30" s="74">
        <v>46059</v>
      </c>
      <c r="D30" s="75" t="s">
        <v>9</v>
      </c>
      <c r="E30" s="51" t="str">
        <f>INDEX(Table5[KATEGORI PROGRAM],MATCH(Table1[[#This Row],[NAMA PROGRAM]],Table5[NAMA PROGRAM],0))</f>
        <v>Pangan</v>
      </c>
      <c r="F30" s="42" t="s">
        <v>358</v>
      </c>
      <c r="G30" s="76" t="s">
        <v>242</v>
      </c>
      <c r="H30" s="52" t="s">
        <v>96</v>
      </c>
      <c r="I30" s="52" t="str">
        <f>INDEX(Table2[Kecamatan],MATCH(Table1[[#This Row],[KELURAHAN / DESA]],Table2[Kelurahan],0))</f>
        <v>Kertapati</v>
      </c>
      <c r="J30" s="52" t="str">
        <f>INDEX(Table2[Kabupaten/Kota],MATCH(Table1[[#This Row],[KECAMATAN]],Table2[Kecamatan],0))</f>
        <v>Palembang</v>
      </c>
      <c r="K30" s="75" t="str">
        <f>INDEX(Table2[Provinsi],MATCH(Table1[[#This Row],[KAB./KOTA]],Table2[Kabupaten/Kota],0))</f>
        <v>Sumatera Selatan</v>
      </c>
      <c r="L30" s="43">
        <v>100</v>
      </c>
      <c r="M30" s="52">
        <v>6</v>
      </c>
      <c r="N30" s="52" t="s">
        <v>243</v>
      </c>
      <c r="O30" s="67" t="s">
        <v>206</v>
      </c>
    </row>
    <row r="31" spans="2:17" ht="29" x14ac:dyDescent="0.35">
      <c r="B31" s="73">
        <f>IF(Table1[[#This Row],[TANGGAL]]="","",ROW(N27))</f>
        <v>27</v>
      </c>
      <c r="C31" s="74">
        <v>46059</v>
      </c>
      <c r="D31" s="75" t="s">
        <v>9</v>
      </c>
      <c r="E31" s="51" t="str">
        <f>INDEX(Table5[KATEGORI PROGRAM],MATCH(Table1[[#This Row],[NAMA PROGRAM]],Table5[NAMA PROGRAM],0))</f>
        <v>Pangan</v>
      </c>
      <c r="F31" s="42" t="s">
        <v>351</v>
      </c>
      <c r="G31" s="76" t="s">
        <v>309</v>
      </c>
      <c r="H31" s="52" t="s">
        <v>99</v>
      </c>
      <c r="I31" s="52" t="str">
        <f>INDEX(Table2[Kecamatan],MATCH(Table1[[#This Row],[KELURAHAN / DESA]],Table2[Kelurahan],0))</f>
        <v>Kertapati</v>
      </c>
      <c r="J31" s="52" t="str">
        <f>INDEX(Table2[Kabupaten/Kota],MATCH(Table1[[#This Row],[KECAMATAN]],Table2[Kecamatan],0))</f>
        <v>Palembang</v>
      </c>
      <c r="K31" s="75" t="str">
        <f>INDEX(Table2[Provinsi],MATCH(Table1[[#This Row],[KAB./KOTA]],Table2[Kabupaten/Kota],0))</f>
        <v>Sumatera Selatan</v>
      </c>
      <c r="L31" s="43">
        <v>120</v>
      </c>
      <c r="M31" s="52">
        <v>7</v>
      </c>
      <c r="N31" s="52" t="s">
        <v>353</v>
      </c>
      <c r="O31" s="67" t="s">
        <v>209</v>
      </c>
    </row>
    <row r="32" spans="2:17" ht="29" x14ac:dyDescent="0.35">
      <c r="B32" s="73">
        <f>IF(Table1[[#This Row],[TANGGAL]]="","",ROW(N28))</f>
        <v>28</v>
      </c>
      <c r="C32" s="74">
        <v>46059</v>
      </c>
      <c r="D32" s="75" t="s">
        <v>9</v>
      </c>
      <c r="E32" s="51" t="str">
        <f>INDEX(Table5[KATEGORI PROGRAM],MATCH(Table1[[#This Row],[NAMA PROGRAM]],Table5[NAMA PROGRAM],0))</f>
        <v>Pangan</v>
      </c>
      <c r="F32" s="42" t="s">
        <v>413</v>
      </c>
      <c r="G32" s="76" t="s">
        <v>414</v>
      </c>
      <c r="H32" s="52" t="s">
        <v>99</v>
      </c>
      <c r="I32" s="52" t="str">
        <f>INDEX(Table2[Kecamatan],MATCH(Table1[[#This Row],[KELURAHAN / DESA]],Table2[Kelurahan],0))</f>
        <v>Kertapati</v>
      </c>
      <c r="J32" s="52" t="str">
        <f>INDEX(Table2[Kabupaten/Kota],MATCH(Table1[[#This Row],[KECAMATAN]],Table2[Kecamatan],0))</f>
        <v>Palembang</v>
      </c>
      <c r="K32" s="75" t="str">
        <f>INDEX(Table2[Provinsi],MATCH(Table1[[#This Row],[KAB./KOTA]],Table2[Kabupaten/Kota],0))</f>
        <v>Sumatera Selatan</v>
      </c>
      <c r="L32" s="43">
        <v>110</v>
      </c>
      <c r="M32" s="52">
        <v>7</v>
      </c>
      <c r="N32" s="52" t="s">
        <v>408</v>
      </c>
      <c r="O32" s="67" t="s">
        <v>210</v>
      </c>
    </row>
    <row r="33" spans="2:15" ht="29" x14ac:dyDescent="0.35">
      <c r="B33" s="73">
        <f>IF(Table1[[#This Row],[TANGGAL]]="","",ROW(N29))</f>
        <v>29</v>
      </c>
      <c r="C33" s="74">
        <v>46059</v>
      </c>
      <c r="D33" s="75" t="s">
        <v>9</v>
      </c>
      <c r="E33" s="51" t="str">
        <f>INDEX(Table5[KATEGORI PROGRAM],MATCH(Table1[[#This Row],[NAMA PROGRAM]],Table5[NAMA PROGRAM],0))</f>
        <v>Pangan</v>
      </c>
      <c r="F33" s="42" t="s">
        <v>411</v>
      </c>
      <c r="G33" s="76" t="s">
        <v>412</v>
      </c>
      <c r="H33" s="52" t="s">
        <v>166</v>
      </c>
      <c r="I33" s="52" t="str">
        <f>INDEX(Table2[Kecamatan],MATCH(Table1[[#This Row],[KELURAHAN / DESA]],Table2[Kelurahan],0))</f>
        <v>Talang Kelapa</v>
      </c>
      <c r="J33" s="52" t="str">
        <f>INDEX(Table2[Kabupaten/Kota],MATCH(Table1[[#This Row],[KECAMATAN]],Table2[Kecamatan],0))</f>
        <v>Banyuasin</v>
      </c>
      <c r="K33" s="75" t="str">
        <f>INDEX(Table2[Provinsi],MATCH(Table1[[#This Row],[KAB./KOTA]],Table2[Kabupaten/Kota],0))</f>
        <v>Sumatera Selatan</v>
      </c>
      <c r="L33" s="43">
        <v>150</v>
      </c>
      <c r="M33" s="52">
        <v>8</v>
      </c>
      <c r="N33" s="52" t="s">
        <v>408</v>
      </c>
      <c r="O33" s="67" t="s">
        <v>208</v>
      </c>
    </row>
    <row r="34" spans="2:15" ht="29" x14ac:dyDescent="0.35">
      <c r="B34" s="73">
        <f>IF(Table1[[#This Row],[TANGGAL]]="","",ROW(N30))</f>
        <v>30</v>
      </c>
      <c r="C34" s="74">
        <v>46060</v>
      </c>
      <c r="D34" s="75" t="s">
        <v>2</v>
      </c>
      <c r="E34" s="51" t="str">
        <f>INDEX(Table5[KATEGORI PROGRAM],MATCH(Table1[[#This Row],[NAMA PROGRAM]],Table5[NAMA PROGRAM],0))</f>
        <v>Pendidikan</v>
      </c>
      <c r="F34" s="42" t="s">
        <v>403</v>
      </c>
      <c r="G34" s="76" t="s">
        <v>404</v>
      </c>
      <c r="H34" s="52" t="s">
        <v>99</v>
      </c>
      <c r="I34" s="52" t="str">
        <f>INDEX(Table2[Kecamatan],MATCH(Table1[[#This Row],[KELURAHAN / DESA]],Table2[Kelurahan],0))</f>
        <v>Kertapati</v>
      </c>
      <c r="J34" s="52" t="str">
        <f>INDEX(Table2[Kabupaten/Kota],MATCH(Table1[[#This Row],[KECAMATAN]],Table2[Kecamatan],0))</f>
        <v>Palembang</v>
      </c>
      <c r="K34" s="75" t="str">
        <f>INDEX(Table2[Provinsi],MATCH(Table1[[#This Row],[KAB./KOTA]],Table2[Kabupaten/Kota],0))</f>
        <v>Sumatera Selatan</v>
      </c>
      <c r="L34" s="43">
        <v>114</v>
      </c>
      <c r="M34" s="52">
        <v>5</v>
      </c>
      <c r="N34" s="52" t="s">
        <v>405</v>
      </c>
      <c r="O34" s="67" t="s">
        <v>206</v>
      </c>
    </row>
    <row r="35" spans="2:15" ht="29" x14ac:dyDescent="0.35">
      <c r="B35" s="73">
        <f>IF(Table1[[#This Row],[TANGGAL]]="","",ROW(N31))</f>
        <v>31</v>
      </c>
      <c r="C35" s="74">
        <v>46060</v>
      </c>
      <c r="D35" s="75" t="s">
        <v>3</v>
      </c>
      <c r="E35" s="51" t="str">
        <f>INDEX(Table5[KATEGORI PROGRAM],MATCH(Table1[[#This Row],[NAMA PROGRAM]],Table5[NAMA PROGRAM],0))</f>
        <v>Pendidikan</v>
      </c>
      <c r="F35" s="42" t="s">
        <v>352</v>
      </c>
      <c r="G35" s="76" t="s">
        <v>3</v>
      </c>
      <c r="H35" s="52" t="s">
        <v>82</v>
      </c>
      <c r="I35" s="52" t="str">
        <f>INDEX(Table2[Kecamatan],MATCH(Table1[[#This Row],[KELURAHAN / DESA]],Table2[Kelurahan],0))</f>
        <v>Jakabaring</v>
      </c>
      <c r="J35" s="52" t="str">
        <f>INDEX(Table2[Kabupaten/Kota],MATCH(Table1[[#This Row],[KECAMATAN]],Table2[Kecamatan],0))</f>
        <v>Palembang</v>
      </c>
      <c r="K35" s="75" t="str">
        <f>INDEX(Table2[Provinsi],MATCH(Table1[[#This Row],[KAB./KOTA]],Table2[Kabupaten/Kota],0))</f>
        <v>Sumatera Selatan</v>
      </c>
      <c r="L35" s="43">
        <v>23</v>
      </c>
      <c r="M35" s="52">
        <v>3</v>
      </c>
      <c r="N35" s="52" t="s">
        <v>244</v>
      </c>
      <c r="O35" s="67" t="s">
        <v>206</v>
      </c>
    </row>
    <row r="36" spans="2:15" ht="29" x14ac:dyDescent="0.35">
      <c r="B36" s="73">
        <f>IF(Table1[[#This Row],[TANGGAL]]="","",ROW(N32))</f>
        <v>32</v>
      </c>
      <c r="C36" s="74">
        <v>46060</v>
      </c>
      <c r="D36" s="75" t="s">
        <v>7</v>
      </c>
      <c r="E36" s="51" t="str">
        <f>INDEX(Table5[KATEGORI PROGRAM],MATCH(Table1[[#This Row],[NAMA PROGRAM]],Table5[NAMA PROGRAM],0))</f>
        <v>Pendidikan</v>
      </c>
      <c r="F36" s="42" t="s">
        <v>351</v>
      </c>
      <c r="G36" s="76" t="s">
        <v>237</v>
      </c>
      <c r="H36" s="52" t="s">
        <v>99</v>
      </c>
      <c r="I36" s="52" t="str">
        <f>INDEX(Table2[Kecamatan],MATCH(Table1[[#This Row],[KELURAHAN / DESA]],Table2[Kelurahan],0))</f>
        <v>Kertapati</v>
      </c>
      <c r="J36" s="52" t="str">
        <f>INDEX(Table2[Kabupaten/Kota],MATCH(Table1[[#This Row],[KECAMATAN]],Table2[Kecamatan],0))</f>
        <v>Palembang</v>
      </c>
      <c r="K36" s="75" t="str">
        <f>INDEX(Table2[Provinsi],MATCH(Table1[[#This Row],[KAB./KOTA]],Table2[Kabupaten/Kota],0))</f>
        <v>Sumatera Selatan</v>
      </c>
      <c r="L36" s="43">
        <v>55</v>
      </c>
      <c r="M36" s="52">
        <v>5</v>
      </c>
      <c r="N36" s="52" t="s">
        <v>238</v>
      </c>
      <c r="O36" s="67" t="s">
        <v>206</v>
      </c>
    </row>
    <row r="37" spans="2:15" ht="31" x14ac:dyDescent="0.35">
      <c r="B37" s="73">
        <f>IF(Table1[[#This Row],[TANGGAL]]="","",ROW(N33))</f>
        <v>33</v>
      </c>
      <c r="C37" s="74">
        <v>46060</v>
      </c>
      <c r="D37" s="75" t="s">
        <v>9</v>
      </c>
      <c r="E37" s="51" t="str">
        <f>INDEX(Table5[KATEGORI PROGRAM],MATCH(Table1[[#This Row],[NAMA PROGRAM]],Table5[NAMA PROGRAM],0))</f>
        <v>Pangan</v>
      </c>
      <c r="F37" s="42" t="s">
        <v>351</v>
      </c>
      <c r="G37" s="76" t="s">
        <v>419</v>
      </c>
      <c r="H37" s="52" t="s">
        <v>99</v>
      </c>
      <c r="I37" s="52" t="str">
        <f>INDEX(Table2[Kecamatan],MATCH(Table1[[#This Row],[KELURAHAN / DESA]],Table2[Kelurahan],0))</f>
        <v>Kertapati</v>
      </c>
      <c r="J37" s="52" t="str">
        <f>INDEX(Table2[Kabupaten/Kota],MATCH(Table1[[#This Row],[KECAMATAN]],Table2[Kecamatan],0))</f>
        <v>Palembang</v>
      </c>
      <c r="K37" s="75" t="str">
        <f>INDEX(Table2[Provinsi],MATCH(Table1[[#This Row],[KAB./KOTA]],Table2[Kabupaten/Kota],0))</f>
        <v>Sumatera Selatan</v>
      </c>
      <c r="L37" s="43">
        <v>40</v>
      </c>
      <c r="M37" s="52">
        <v>2</v>
      </c>
      <c r="N37" s="52" t="s">
        <v>420</v>
      </c>
      <c r="O37" s="67" t="s">
        <v>220</v>
      </c>
    </row>
    <row r="38" spans="2:15" ht="29" x14ac:dyDescent="0.35">
      <c r="B38" s="73">
        <f>IF(Table1[[#This Row],[TANGGAL]]="","",ROW(N34))</f>
        <v>34</v>
      </c>
      <c r="C38" s="74">
        <v>46060</v>
      </c>
      <c r="D38" s="75" t="s">
        <v>9</v>
      </c>
      <c r="E38" s="51" t="str">
        <f>INDEX(Table5[KATEGORI PROGRAM],MATCH(Table1[[#This Row],[NAMA PROGRAM]],Table5[NAMA PROGRAM],0))</f>
        <v>Pangan</v>
      </c>
      <c r="F38" s="42" t="s">
        <v>351</v>
      </c>
      <c r="G38" s="76" t="s">
        <v>417</v>
      </c>
      <c r="H38" s="52" t="s">
        <v>99</v>
      </c>
      <c r="I38" s="52" t="str">
        <f>INDEX(Table2[Kecamatan],MATCH(Table1[[#This Row],[KELURAHAN / DESA]],Table2[Kelurahan],0))</f>
        <v>Kertapati</v>
      </c>
      <c r="J38" s="52" t="str">
        <f>INDEX(Table2[Kabupaten/Kota],MATCH(Table1[[#This Row],[KECAMATAN]],Table2[Kecamatan],0))</f>
        <v>Palembang</v>
      </c>
      <c r="K38" s="75" t="str">
        <f>INDEX(Table2[Provinsi],MATCH(Table1[[#This Row],[KAB./KOTA]],Table2[Kabupaten/Kota],0))</f>
        <v>Sumatera Selatan</v>
      </c>
      <c r="L38" s="43">
        <v>20</v>
      </c>
      <c r="M38" s="52">
        <v>4</v>
      </c>
      <c r="N38" s="52" t="s">
        <v>418</v>
      </c>
      <c r="O38" s="67" t="s">
        <v>213</v>
      </c>
    </row>
    <row r="39" spans="2:15" ht="29" x14ac:dyDescent="0.35">
      <c r="B39" s="73">
        <f>IF(Table1[[#This Row],[TANGGAL]]="","",ROW(N35))</f>
        <v>35</v>
      </c>
      <c r="C39" s="74">
        <v>46060</v>
      </c>
      <c r="D39" s="75" t="s">
        <v>6</v>
      </c>
      <c r="E39" s="51" t="str">
        <f>INDEX(Table5[KATEGORI PROGRAM],MATCH(Table1[[#This Row],[NAMA PROGRAM]],Table5[NAMA PROGRAM],0))</f>
        <v>Pendidikan</v>
      </c>
      <c r="F39" s="42" t="s">
        <v>358</v>
      </c>
      <c r="G39" s="76" t="s">
        <v>242</v>
      </c>
      <c r="H39" s="52" t="s">
        <v>96</v>
      </c>
      <c r="I39" s="52" t="str">
        <f>INDEX(Table2[Kecamatan],MATCH(Table1[[#This Row],[KELURAHAN / DESA]],Table2[Kelurahan],0))</f>
        <v>Kertapati</v>
      </c>
      <c r="J39" s="52" t="str">
        <f>INDEX(Table2[Kabupaten/Kota],MATCH(Table1[[#This Row],[KECAMATAN]],Table2[Kecamatan],0))</f>
        <v>Palembang</v>
      </c>
      <c r="K39" s="75" t="str">
        <f>INDEX(Table2[Provinsi],MATCH(Table1[[#This Row],[KAB./KOTA]],Table2[Kabupaten/Kota],0))</f>
        <v>Sumatera Selatan</v>
      </c>
      <c r="L39" s="43">
        <v>50</v>
      </c>
      <c r="M39" s="52">
        <v>4</v>
      </c>
      <c r="N39" s="52" t="s">
        <v>243</v>
      </c>
      <c r="O39" s="67" t="s">
        <v>206</v>
      </c>
    </row>
    <row r="40" spans="2:15" ht="31" x14ac:dyDescent="0.35">
      <c r="B40" s="73">
        <f>IF(Table1[[#This Row],[TANGGAL]]="","",ROW(N36))</f>
        <v>36</v>
      </c>
      <c r="C40" s="74">
        <v>46061</v>
      </c>
      <c r="D40" s="75" t="s">
        <v>9</v>
      </c>
      <c r="E40" s="51" t="str">
        <f>INDEX(Table5[KATEGORI PROGRAM],MATCH(Table1[[#This Row],[NAMA PROGRAM]],Table5[NAMA PROGRAM],0))</f>
        <v>Pangan</v>
      </c>
      <c r="F40" s="42" t="s">
        <v>422</v>
      </c>
      <c r="G40" s="76" t="s">
        <v>424</v>
      </c>
      <c r="H40" s="52" t="s">
        <v>33</v>
      </c>
      <c r="I40" s="52" t="str">
        <f>INDEX(Table2[Kecamatan],MATCH(Table1[[#This Row],[KELURAHAN / DESA]],Table2[Kelurahan],0))</f>
        <v>Alang-Alang Lebar</v>
      </c>
      <c r="J40" s="52" t="str">
        <f>INDEX(Table2[Kabupaten/Kota],MATCH(Table1[[#This Row],[KECAMATAN]],Table2[Kecamatan],0))</f>
        <v>Palembang</v>
      </c>
      <c r="K40" s="75" t="str">
        <f>INDEX(Table2[Provinsi],MATCH(Table1[[#This Row],[KAB./KOTA]],Table2[Kabupaten/Kota],0))</f>
        <v>Sumatera Selatan</v>
      </c>
      <c r="L40" s="43">
        <v>40</v>
      </c>
      <c r="M40" s="52">
        <v>2</v>
      </c>
      <c r="N40" s="52" t="s">
        <v>244</v>
      </c>
      <c r="O40" s="67" t="s">
        <v>207</v>
      </c>
    </row>
    <row r="41" spans="2:15" ht="31" x14ac:dyDescent="0.35">
      <c r="B41" s="73">
        <f>IF(Table1[[#This Row],[TANGGAL]]="","",ROW(N37))</f>
        <v>37</v>
      </c>
      <c r="C41" s="74">
        <v>46061</v>
      </c>
      <c r="D41" s="75" t="s">
        <v>9</v>
      </c>
      <c r="E41" s="51" t="str">
        <f>INDEX(Table5[KATEGORI PROGRAM],MATCH(Table1[[#This Row],[NAMA PROGRAM]],Table5[NAMA PROGRAM],0))</f>
        <v>Pangan</v>
      </c>
      <c r="F41" s="42" t="s">
        <v>421</v>
      </c>
      <c r="G41" s="76" t="s">
        <v>423</v>
      </c>
      <c r="H41" s="52" t="s">
        <v>48</v>
      </c>
      <c r="I41" s="52" t="str">
        <f>INDEX(Table2[Kecamatan],MATCH(Table1[[#This Row],[KELURAHAN / DESA]],Table2[Kelurahan],0))</f>
        <v>Ilir Barat I</v>
      </c>
      <c r="J41" s="52" t="str">
        <f>INDEX(Table2[Kabupaten/Kota],MATCH(Table1[[#This Row],[KECAMATAN]],Table2[Kecamatan],0))</f>
        <v>Palembang</v>
      </c>
      <c r="K41" s="75" t="str">
        <f>INDEX(Table2[Provinsi],MATCH(Table1[[#This Row],[KAB./KOTA]],Table2[Kabupaten/Kota],0))</f>
        <v>Sumatera Selatan</v>
      </c>
      <c r="L41" s="43">
        <v>200</v>
      </c>
      <c r="M41" s="52">
        <v>15</v>
      </c>
      <c r="N41" s="52" t="s">
        <v>420</v>
      </c>
      <c r="O41" s="67" t="s">
        <v>220</v>
      </c>
    </row>
    <row r="42" spans="2:15" ht="31" x14ac:dyDescent="0.35">
      <c r="B42" s="73">
        <f>IF(Table1[[#This Row],[TANGGAL]]="","",ROW(N38))</f>
        <v>38</v>
      </c>
      <c r="C42" s="74">
        <v>46062</v>
      </c>
      <c r="D42" s="75" t="s">
        <v>390</v>
      </c>
      <c r="E42" s="51" t="str">
        <f>INDEX(Table5[KATEGORI PROGRAM],MATCH(Table1[[#This Row],[NAMA PROGRAM]],Table5[NAMA PROGRAM],0))</f>
        <v>Respon Bencana (Recovery)</v>
      </c>
      <c r="F42" s="42" t="s">
        <v>507</v>
      </c>
      <c r="G42" s="76" t="s">
        <v>508</v>
      </c>
      <c r="H42" s="52" t="s">
        <v>304</v>
      </c>
      <c r="I42" s="52" t="str">
        <f>INDEX(Table2[Kecamatan],MATCH(Table1[[#This Row],[KELURAHAN / DESA]],Table2[Kelurahan],0))</f>
        <v>Kejuruan Muda</v>
      </c>
      <c r="J42" s="52" t="str">
        <f>INDEX(Table2[Kabupaten/Kota],MATCH(Table1[[#This Row],[KECAMATAN]],Table2[Kecamatan],0))</f>
        <v>Aceh Tamiang</v>
      </c>
      <c r="K42" s="75" t="str">
        <f>INDEX(Table2[Provinsi],MATCH(Table1[[#This Row],[KAB./KOTA]],Table2[Kabupaten/Kota],0))</f>
        <v>Nangroe Aceh Darussalam</v>
      </c>
      <c r="L42" s="43">
        <v>55</v>
      </c>
      <c r="M42" s="52" t="s">
        <v>4</v>
      </c>
      <c r="N42" s="52" t="s">
        <v>463</v>
      </c>
      <c r="O42" s="67" t="s">
        <v>220</v>
      </c>
    </row>
    <row r="43" spans="2:15" ht="31" x14ac:dyDescent="0.35">
      <c r="B43" s="73">
        <f>IF(Table1[[#This Row],[TANGGAL]]="","",ROW(N39))</f>
        <v>39</v>
      </c>
      <c r="C43" s="74">
        <v>46062</v>
      </c>
      <c r="D43" s="75" t="s">
        <v>9</v>
      </c>
      <c r="E43" s="51" t="str">
        <f>INDEX(Table5[KATEGORI PROGRAM],MATCH(Table1[[#This Row],[NAMA PROGRAM]],Table5[NAMA PROGRAM],0))</f>
        <v>Pangan</v>
      </c>
      <c r="F43" s="42" t="s">
        <v>355</v>
      </c>
      <c r="G43" s="76" t="s">
        <v>356</v>
      </c>
      <c r="H43" s="52" t="s">
        <v>96</v>
      </c>
      <c r="I43" s="52" t="str">
        <f>INDEX(Table2[Kecamatan],MATCH(Table1[[#This Row],[KELURAHAN / DESA]],Table2[Kelurahan],0))</f>
        <v>Kertapati</v>
      </c>
      <c r="J43" s="52" t="str">
        <f>INDEX(Table2[Kabupaten/Kota],MATCH(Table1[[#This Row],[KECAMATAN]],Table2[Kecamatan],0))</f>
        <v>Palembang</v>
      </c>
      <c r="K43" s="75" t="str">
        <f>INDEX(Table2[Provinsi],MATCH(Table1[[#This Row],[KAB./KOTA]],Table2[Kabupaten/Kota],0))</f>
        <v>Sumatera Selatan</v>
      </c>
      <c r="L43" s="43">
        <v>24</v>
      </c>
      <c r="M43" s="52">
        <v>2</v>
      </c>
      <c r="N43" s="52" t="s">
        <v>354</v>
      </c>
      <c r="O43" s="67" t="s">
        <v>206</v>
      </c>
    </row>
    <row r="44" spans="2:15" ht="31" x14ac:dyDescent="0.35">
      <c r="B44" s="73">
        <f>IF(Table1[[#This Row],[TANGGAL]]="","",ROW(N40))</f>
        <v>40</v>
      </c>
      <c r="C44" s="74">
        <v>46063</v>
      </c>
      <c r="D44" s="75" t="s">
        <v>9</v>
      </c>
      <c r="E44" s="51" t="str">
        <f>INDEX(Table5[KATEGORI PROGRAM],MATCH(Table1[[#This Row],[NAMA PROGRAM]],Table5[NAMA PROGRAM],0))</f>
        <v>Pangan</v>
      </c>
      <c r="F44" s="42" t="s">
        <v>351</v>
      </c>
      <c r="G44" s="76" t="s">
        <v>357</v>
      </c>
      <c r="H44" s="52" t="s">
        <v>99</v>
      </c>
      <c r="I44" s="52" t="str">
        <f>INDEX(Table2[Kecamatan],MATCH(Table1[[#This Row],[KELURAHAN / DESA]],Table2[Kelurahan],0))</f>
        <v>Kertapati</v>
      </c>
      <c r="J44" s="52" t="str">
        <f>INDEX(Table2[Kabupaten/Kota],MATCH(Table1[[#This Row],[KECAMATAN]],Table2[Kecamatan],0))</f>
        <v>Palembang</v>
      </c>
      <c r="K44" s="75" t="str">
        <f>INDEX(Table2[Provinsi],MATCH(Table1[[#This Row],[KAB./KOTA]],Table2[Kabupaten/Kota],0))</f>
        <v>Sumatera Selatan</v>
      </c>
      <c r="L44" s="43">
        <v>39</v>
      </c>
      <c r="M44" s="52">
        <v>4</v>
      </c>
      <c r="N44" s="52" t="s">
        <v>354</v>
      </c>
      <c r="O44" s="67" t="s">
        <v>206</v>
      </c>
    </row>
    <row r="45" spans="2:15" ht="31" x14ac:dyDescent="0.35">
      <c r="B45" s="73">
        <f>IF(Table1[[#This Row],[TANGGAL]]="","",ROW(N41))</f>
        <v>41</v>
      </c>
      <c r="C45" s="74">
        <v>46064</v>
      </c>
      <c r="D45" s="75" t="s">
        <v>259</v>
      </c>
      <c r="E45" s="51" t="str">
        <f>INDEX(Table5[KATEGORI PROGRAM],MATCH(Table1[[#This Row],[NAMA PROGRAM]],Table5[NAMA PROGRAM],0))</f>
        <v>Respon Bencana (Bantuan Kesehatan)</v>
      </c>
      <c r="F45" s="42" t="s">
        <v>516</v>
      </c>
      <c r="G45" s="76" t="s">
        <v>510</v>
      </c>
      <c r="H45" s="52" t="s">
        <v>323</v>
      </c>
      <c r="I45" s="52" t="str">
        <f>INDEX(Table2[Kecamatan],MATCH(Table1[[#This Row],[KELURAHAN / DESA]],Table2[Kelurahan],0))</f>
        <v>Rantau</v>
      </c>
      <c r="J45" s="52" t="str">
        <f>INDEX(Table2[Kabupaten/Kota],MATCH(Table1[[#This Row],[KECAMATAN]],Table2[Kecamatan],0))</f>
        <v>Aceh Tamiang</v>
      </c>
      <c r="K45" s="75" t="str">
        <f>INDEX(Table2[Provinsi],MATCH(Table1[[#This Row],[KAB./KOTA]],Table2[Kabupaten/Kota],0))</f>
        <v>Nangroe Aceh Darussalam</v>
      </c>
      <c r="L45" s="43">
        <v>50</v>
      </c>
      <c r="M45" s="52" t="s">
        <v>513</v>
      </c>
      <c r="N45" s="52" t="s">
        <v>463</v>
      </c>
      <c r="O45" s="67" t="s">
        <v>220</v>
      </c>
    </row>
    <row r="46" spans="2:15" ht="31" x14ac:dyDescent="0.35">
      <c r="B46" s="73">
        <f>IF(Table1[[#This Row],[TANGGAL]]="","",ROW(N42))</f>
        <v>42</v>
      </c>
      <c r="C46" s="74">
        <v>46064</v>
      </c>
      <c r="D46" s="75" t="s">
        <v>255</v>
      </c>
      <c r="E46" s="51" t="str">
        <f>INDEX(Table5[KATEGORI PROGRAM],MATCH(Table1[[#This Row],[NAMA PROGRAM]],Table5[NAMA PROGRAM],0))</f>
        <v>Respon Bencana (Recovery)</v>
      </c>
      <c r="F46" s="42" t="s">
        <v>516</v>
      </c>
      <c r="G46" s="76" t="s">
        <v>510</v>
      </c>
      <c r="H46" s="52" t="s">
        <v>323</v>
      </c>
      <c r="I46" s="52" t="str">
        <f>INDEX(Table2[Kecamatan],MATCH(Table1[[#This Row],[KELURAHAN / DESA]],Table2[Kelurahan],0))</f>
        <v>Rantau</v>
      </c>
      <c r="J46" s="52" t="str">
        <f>INDEX(Table2[Kabupaten/Kota],MATCH(Table1[[#This Row],[KECAMATAN]],Table2[Kecamatan],0))</f>
        <v>Aceh Tamiang</v>
      </c>
      <c r="K46" s="75" t="str">
        <f>INDEX(Table2[Provinsi],MATCH(Table1[[#This Row],[KAB./KOTA]],Table2[Kabupaten/Kota],0))</f>
        <v>Nangroe Aceh Darussalam</v>
      </c>
      <c r="L46" s="43">
        <v>50</v>
      </c>
      <c r="M46" s="52" t="s">
        <v>512</v>
      </c>
      <c r="N46" s="52" t="s">
        <v>463</v>
      </c>
      <c r="O46" s="67" t="s">
        <v>220</v>
      </c>
    </row>
    <row r="47" spans="2:15" ht="31" x14ac:dyDescent="0.35">
      <c r="B47" s="73">
        <f>IF(Table1[[#This Row],[TANGGAL]]="","",ROW(N43))</f>
        <v>43</v>
      </c>
      <c r="C47" s="74">
        <v>46064</v>
      </c>
      <c r="D47" s="75" t="s">
        <v>9</v>
      </c>
      <c r="E47" s="51" t="str">
        <f>INDEX(Table5[KATEGORI PROGRAM],MATCH(Table1[[#This Row],[NAMA PROGRAM]],Table5[NAMA PROGRAM],0))</f>
        <v>Pangan</v>
      </c>
      <c r="F47" s="42" t="s">
        <v>355</v>
      </c>
      <c r="G47" s="76" t="s">
        <v>356</v>
      </c>
      <c r="H47" s="52" t="s">
        <v>96</v>
      </c>
      <c r="I47" s="52" t="str">
        <f>INDEX(Table2[Kecamatan],MATCH(Table1[[#This Row],[KELURAHAN / DESA]],Table2[Kelurahan],0))</f>
        <v>Kertapati</v>
      </c>
      <c r="J47" s="52" t="str">
        <f>INDEX(Table2[Kabupaten/Kota],MATCH(Table1[[#This Row],[KECAMATAN]],Table2[Kecamatan],0))</f>
        <v>Palembang</v>
      </c>
      <c r="K47" s="75" t="str">
        <f>INDEX(Table2[Provinsi],MATCH(Table1[[#This Row],[KAB./KOTA]],Table2[Kabupaten/Kota],0))</f>
        <v>Sumatera Selatan</v>
      </c>
      <c r="L47" s="43">
        <v>22</v>
      </c>
      <c r="M47" s="52">
        <v>3</v>
      </c>
      <c r="N47" s="52" t="s">
        <v>354</v>
      </c>
      <c r="O47" s="67" t="s">
        <v>206</v>
      </c>
    </row>
    <row r="48" spans="2:15" ht="29" x14ac:dyDescent="0.35">
      <c r="B48" s="73">
        <f>IF(Table1[[#This Row],[TANGGAL]]="","",ROW(N44))</f>
        <v>44</v>
      </c>
      <c r="C48" s="74">
        <v>46064</v>
      </c>
      <c r="D48" s="75" t="s">
        <v>9</v>
      </c>
      <c r="E48" s="51" t="str">
        <f>INDEX(Table5[KATEGORI PROGRAM],MATCH(Table1[[#This Row],[NAMA PROGRAM]],Table5[NAMA PROGRAM],0))</f>
        <v>Pangan</v>
      </c>
      <c r="F48" s="42" t="s">
        <v>351</v>
      </c>
      <c r="G48" s="76" t="s">
        <v>309</v>
      </c>
      <c r="H48" s="52" t="s">
        <v>99</v>
      </c>
      <c r="I48" s="52" t="str">
        <f>INDEX(Table2[Kecamatan],MATCH(Table1[[#This Row],[KELURAHAN / DESA]],Table2[Kelurahan],0))</f>
        <v>Kertapati</v>
      </c>
      <c r="J48" s="52" t="str">
        <f>INDEX(Table2[Kabupaten/Kota],MATCH(Table1[[#This Row],[KECAMATAN]],Table2[Kecamatan],0))</f>
        <v>Palembang</v>
      </c>
      <c r="K48" s="75" t="str">
        <f>INDEX(Table2[Provinsi],MATCH(Table1[[#This Row],[KAB./KOTA]],Table2[Kabupaten/Kota],0))</f>
        <v>Sumatera Selatan</v>
      </c>
      <c r="L48" s="43">
        <v>80</v>
      </c>
      <c r="M48" s="52">
        <v>4</v>
      </c>
      <c r="N48" s="52" t="s">
        <v>353</v>
      </c>
      <c r="O48" s="67" t="s">
        <v>209</v>
      </c>
    </row>
    <row r="49" spans="2:15" ht="31" x14ac:dyDescent="0.35">
      <c r="B49" s="73">
        <f>IF(Table1[[#This Row],[TANGGAL]]="","",ROW(N45))</f>
        <v>45</v>
      </c>
      <c r="C49" s="74">
        <v>46065</v>
      </c>
      <c r="D49" s="75" t="s">
        <v>369</v>
      </c>
      <c r="E49" s="51" t="str">
        <f>INDEX(Table5[KATEGORI PROGRAM],MATCH(Table1[[#This Row],[NAMA PROGRAM]],Table5[NAMA PROGRAM],0))</f>
        <v>Respon Bencana (Recovery)</v>
      </c>
      <c r="F49" s="42" t="s">
        <v>517</v>
      </c>
      <c r="G49" s="76" t="s">
        <v>509</v>
      </c>
      <c r="H49" s="52" t="s">
        <v>376</v>
      </c>
      <c r="I49" s="52" t="str">
        <f>INDEX(Table2[Kecamatan],MATCH(Table1[[#This Row],[KELURAHAN / DESA]],Table2[Kelurahan],0))</f>
        <v>Sekerak</v>
      </c>
      <c r="J49" s="52" t="str">
        <f>INDEX(Table2[Kabupaten/Kota],MATCH(Table1[[#This Row],[KECAMATAN]],Table2[Kecamatan],0))</f>
        <v>Aceh Tamiang</v>
      </c>
      <c r="K49" s="75" t="str">
        <f>INDEX(Table2[Provinsi],MATCH(Table1[[#This Row],[KAB./KOTA]],Table2[Kabupaten/Kota],0))</f>
        <v>Nangroe Aceh Darussalam</v>
      </c>
      <c r="L49" s="43">
        <v>500</v>
      </c>
      <c r="M49" s="52" t="s">
        <v>515</v>
      </c>
      <c r="N49" s="52" t="s">
        <v>463</v>
      </c>
      <c r="O49" s="67" t="s">
        <v>220</v>
      </c>
    </row>
    <row r="50" spans="2:15" ht="31" x14ac:dyDescent="0.35">
      <c r="B50" s="73">
        <f>IF(Table1[[#This Row],[TANGGAL]]="","",ROW(N46))</f>
        <v>46</v>
      </c>
      <c r="C50" s="74">
        <v>46065</v>
      </c>
      <c r="D50" s="75" t="s">
        <v>245</v>
      </c>
      <c r="E50" s="51" t="str">
        <f>INDEX(Table5[KATEGORI PROGRAM],MATCH(Table1[[#This Row],[NAMA PROGRAM]],Table5[NAMA PROGRAM],0))</f>
        <v>Lingkungan</v>
      </c>
      <c r="F50" s="42" t="s">
        <v>351</v>
      </c>
      <c r="G50" s="76" t="s">
        <v>425</v>
      </c>
      <c r="H50" s="52" t="s">
        <v>99</v>
      </c>
      <c r="I50" s="52" t="str">
        <f>INDEX(Table2[Kecamatan],MATCH(Table1[[#This Row],[KELURAHAN / DESA]],Table2[Kelurahan],0))</f>
        <v>Kertapati</v>
      </c>
      <c r="J50" s="52" t="str">
        <f>INDEX(Table2[Kabupaten/Kota],MATCH(Table1[[#This Row],[KECAMATAN]],Table2[Kecamatan],0))</f>
        <v>Palembang</v>
      </c>
      <c r="K50" s="75" t="str">
        <f>INDEX(Table2[Provinsi],MATCH(Table1[[#This Row],[KAB./KOTA]],Table2[Kabupaten/Kota],0))</f>
        <v>Sumatera Selatan</v>
      </c>
      <c r="L50" s="43">
        <v>1000</v>
      </c>
      <c r="M50" s="52" t="s">
        <v>426</v>
      </c>
      <c r="N50" s="52" t="s">
        <v>408</v>
      </c>
      <c r="O50" s="67" t="s">
        <v>220</v>
      </c>
    </row>
    <row r="51" spans="2:15" ht="31" x14ac:dyDescent="0.35">
      <c r="B51" s="73">
        <f>IF(Table1[[#This Row],[TANGGAL]]="","",ROW(N47))</f>
        <v>47</v>
      </c>
      <c r="C51" s="74">
        <v>46065</v>
      </c>
      <c r="D51" s="75" t="s">
        <v>390</v>
      </c>
      <c r="E51" s="51" t="str">
        <f>INDEX(Table5[KATEGORI PROGRAM],MATCH(Table1[[#This Row],[NAMA PROGRAM]],Table5[NAMA PROGRAM],0))</f>
        <v>Respon Bencana (Recovery)</v>
      </c>
      <c r="F51" s="42" t="s">
        <v>507</v>
      </c>
      <c r="G51" s="76" t="s">
        <v>508</v>
      </c>
      <c r="H51" s="52" t="s">
        <v>304</v>
      </c>
      <c r="I51" s="52" t="str">
        <f>INDEX(Table2[Kecamatan],MATCH(Table1[[#This Row],[KELURAHAN / DESA]],Table2[Kelurahan],0))</f>
        <v>Kejuruan Muda</v>
      </c>
      <c r="J51" s="52" t="str">
        <f>INDEX(Table2[Kabupaten/Kota],MATCH(Table1[[#This Row],[KECAMATAN]],Table2[Kecamatan],0))</f>
        <v>Aceh Tamiang</v>
      </c>
      <c r="K51" s="75" t="str">
        <f>INDEX(Table2[Provinsi],MATCH(Table1[[#This Row],[KAB./KOTA]],Table2[Kabupaten/Kota],0))</f>
        <v>Nangroe Aceh Darussalam</v>
      </c>
      <c r="L51" s="43">
        <v>14</v>
      </c>
      <c r="M51" s="52" t="s">
        <v>4</v>
      </c>
      <c r="N51" s="52" t="s">
        <v>463</v>
      </c>
      <c r="O51" s="67" t="s">
        <v>220</v>
      </c>
    </row>
    <row r="52" spans="2:15" ht="31" x14ac:dyDescent="0.35">
      <c r="B52" s="73">
        <f>IF(Table1[[#This Row],[TANGGAL]]="","",ROW(N48))</f>
        <v>48</v>
      </c>
      <c r="C52" s="74">
        <v>46065</v>
      </c>
      <c r="D52" s="75" t="s">
        <v>255</v>
      </c>
      <c r="E52" s="51" t="str">
        <f>INDEX(Table5[KATEGORI PROGRAM],MATCH(Table1[[#This Row],[NAMA PROGRAM]],Table5[NAMA PROGRAM],0))</f>
        <v>Respon Bencana (Recovery)</v>
      </c>
      <c r="F52" s="42" t="s">
        <v>507</v>
      </c>
      <c r="G52" s="76" t="s">
        <v>508</v>
      </c>
      <c r="H52" s="52" t="s">
        <v>304</v>
      </c>
      <c r="I52" s="52" t="str">
        <f>INDEX(Table2[Kecamatan],MATCH(Table1[[#This Row],[KELURAHAN / DESA]],Table2[Kelurahan],0))</f>
        <v>Kejuruan Muda</v>
      </c>
      <c r="J52" s="52" t="str">
        <f>INDEX(Table2[Kabupaten/Kota],MATCH(Table1[[#This Row],[KECAMATAN]],Table2[Kecamatan],0))</f>
        <v>Aceh Tamiang</v>
      </c>
      <c r="K52" s="75" t="str">
        <f>INDEX(Table2[Provinsi],MATCH(Table1[[#This Row],[KAB./KOTA]],Table2[Kabupaten/Kota],0))</f>
        <v>Nangroe Aceh Darussalam</v>
      </c>
      <c r="L52" s="43">
        <v>13</v>
      </c>
      <c r="M52" s="52" t="s">
        <v>514</v>
      </c>
      <c r="N52" s="52" t="s">
        <v>463</v>
      </c>
      <c r="O52" s="67" t="s">
        <v>220</v>
      </c>
    </row>
    <row r="53" spans="2:15" ht="29" x14ac:dyDescent="0.35">
      <c r="B53" s="73">
        <f>IF(Table1[[#This Row],[TANGGAL]]="","",ROW(N49))</f>
        <v>49</v>
      </c>
      <c r="C53" s="74">
        <v>46065</v>
      </c>
      <c r="D53" s="75" t="s">
        <v>7</v>
      </c>
      <c r="E53" s="51" t="str">
        <f>INDEX(Table5[KATEGORI PROGRAM],MATCH(Table1[[#This Row],[NAMA PROGRAM]],Table5[NAMA PROGRAM],0))</f>
        <v>Pendidikan</v>
      </c>
      <c r="F53" s="42" t="s">
        <v>351</v>
      </c>
      <c r="G53" s="76" t="s">
        <v>237</v>
      </c>
      <c r="H53" s="52" t="s">
        <v>99</v>
      </c>
      <c r="I53" s="52" t="str">
        <f>INDEX(Table2[Kecamatan],MATCH(Table1[[#This Row],[KELURAHAN / DESA]],Table2[Kelurahan],0))</f>
        <v>Kertapati</v>
      </c>
      <c r="J53" s="52" t="str">
        <f>INDEX(Table2[Kabupaten/Kota],MATCH(Table1[[#This Row],[KECAMATAN]],Table2[Kecamatan],0))</f>
        <v>Palembang</v>
      </c>
      <c r="K53" s="75" t="str">
        <f>INDEX(Table2[Provinsi],MATCH(Table1[[#This Row],[KAB./KOTA]],Table2[Kabupaten/Kota],0))</f>
        <v>Sumatera Selatan</v>
      </c>
      <c r="L53" s="43">
        <v>61</v>
      </c>
      <c r="M53" s="52">
        <v>4</v>
      </c>
      <c r="N53" s="52" t="s">
        <v>238</v>
      </c>
      <c r="O53" s="67" t="s">
        <v>206</v>
      </c>
    </row>
    <row r="54" spans="2:15" ht="31" x14ac:dyDescent="0.35">
      <c r="B54" s="73">
        <f>IF(Table1[[#This Row],[TANGGAL]]="","",ROW(N50))</f>
        <v>50</v>
      </c>
      <c r="C54" s="74">
        <v>46065</v>
      </c>
      <c r="D54" s="75" t="s">
        <v>9</v>
      </c>
      <c r="E54" s="51" t="str">
        <f>INDEX(Table5[KATEGORI PROGRAM],MATCH(Table1[[#This Row],[NAMA PROGRAM]],Table5[NAMA PROGRAM],0))</f>
        <v>Pangan</v>
      </c>
      <c r="F54" s="42" t="s">
        <v>351</v>
      </c>
      <c r="G54" s="76" t="s">
        <v>425</v>
      </c>
      <c r="H54" s="52" t="s">
        <v>99</v>
      </c>
      <c r="I54" s="52" t="str">
        <f>INDEX(Table2[Kecamatan],MATCH(Table1[[#This Row],[KELURAHAN / DESA]],Table2[Kelurahan],0))</f>
        <v>Kertapati</v>
      </c>
      <c r="J54" s="52" t="str">
        <f>INDEX(Table2[Kabupaten/Kota],MATCH(Table1[[#This Row],[KECAMATAN]],Table2[Kecamatan],0))</f>
        <v>Palembang</v>
      </c>
      <c r="K54" s="75" t="str">
        <f>INDEX(Table2[Provinsi],MATCH(Table1[[#This Row],[KAB./KOTA]],Table2[Kabupaten/Kota],0))</f>
        <v>Sumatera Selatan</v>
      </c>
      <c r="L54" s="43">
        <v>100</v>
      </c>
      <c r="M54" s="52">
        <v>5</v>
      </c>
      <c r="N54" s="52" t="s">
        <v>401</v>
      </c>
      <c r="O54" s="67" t="s">
        <v>220</v>
      </c>
    </row>
    <row r="55" spans="2:15" ht="31" x14ac:dyDescent="0.35">
      <c r="B55" s="73">
        <f>IF(Table1[[#This Row],[TANGGAL]]="","",ROW(N51))</f>
        <v>51</v>
      </c>
      <c r="C55" s="74">
        <v>46065</v>
      </c>
      <c r="D55" s="75" t="s">
        <v>9</v>
      </c>
      <c r="E55" s="51" t="str">
        <f>INDEX(Table5[KATEGORI PROGRAM],MATCH(Table1[[#This Row],[NAMA PROGRAM]],Table5[NAMA PROGRAM],0))</f>
        <v>Pangan</v>
      </c>
      <c r="F55" s="42" t="s">
        <v>435</v>
      </c>
      <c r="G55" s="76" t="s">
        <v>436</v>
      </c>
      <c r="H55" s="52" t="s">
        <v>40</v>
      </c>
      <c r="I55" s="52" t="str">
        <f>INDEX(Table2[Kecamatan],MATCH(Table1[[#This Row],[KELURAHAN / DESA]],Table2[Kelurahan],0))</f>
        <v>Bukit Kecil</v>
      </c>
      <c r="J55" s="52" t="str">
        <f>INDEX(Table2[Kabupaten/Kota],MATCH(Table1[[#This Row],[KECAMATAN]],Table2[Kecamatan],0))</f>
        <v>Palembang</v>
      </c>
      <c r="K55" s="75" t="str">
        <f>INDEX(Table2[Provinsi],MATCH(Table1[[#This Row],[KAB./KOTA]],Table2[Kabupaten/Kota],0))</f>
        <v>Sumatera Selatan</v>
      </c>
      <c r="L55" s="43">
        <v>150</v>
      </c>
      <c r="M55" s="52">
        <v>7</v>
      </c>
      <c r="N55" s="52" t="s">
        <v>427</v>
      </c>
      <c r="O55" s="67" t="s">
        <v>220</v>
      </c>
    </row>
    <row r="56" spans="2:15" ht="31" x14ac:dyDescent="0.35">
      <c r="B56" s="73">
        <f>IF(Table1[[#This Row],[TANGGAL]]="","",ROW(N52))</f>
        <v>52</v>
      </c>
      <c r="C56" s="74">
        <v>46066</v>
      </c>
      <c r="D56" s="75" t="s">
        <v>153</v>
      </c>
      <c r="E56" s="51" t="str">
        <f>INDEX(Table5[KATEGORI PROGRAM],MATCH(Table1[[#This Row],[NAMA PROGRAM]],Table5[NAMA PROGRAM],0))</f>
        <v>Pangan</v>
      </c>
      <c r="F56" s="42" t="s">
        <v>432</v>
      </c>
      <c r="G56" s="76" t="s">
        <v>433</v>
      </c>
      <c r="H56" s="52" t="s">
        <v>311</v>
      </c>
      <c r="I56" s="52" t="str">
        <f>INDEX(Table2[Kecamatan],MATCH(Table1[[#This Row],[KELURAHAN / DESA]],Table2[Kelurahan],0))</f>
        <v>Payaraman</v>
      </c>
      <c r="J56" s="52" t="str">
        <f>INDEX(Table2[Kabupaten/Kota],MATCH(Table1[[#This Row],[KECAMATAN]],Table2[Kecamatan],0))</f>
        <v>Ogan Ilir</v>
      </c>
      <c r="K56" s="75" t="str">
        <f>INDEX(Table2[Provinsi],MATCH(Table1[[#This Row],[KAB./KOTA]],Table2[Kabupaten/Kota],0))</f>
        <v>Sumatera Selatan</v>
      </c>
      <c r="L56" s="43">
        <v>800</v>
      </c>
      <c r="M56" s="52" t="s">
        <v>434</v>
      </c>
      <c r="N56" s="52" t="s">
        <v>408</v>
      </c>
      <c r="O56" s="67" t="s">
        <v>208</v>
      </c>
    </row>
    <row r="57" spans="2:15" ht="31" x14ac:dyDescent="0.35">
      <c r="B57" s="73">
        <f>IF(Table1[[#This Row],[TANGGAL]]="","",ROW(N53))</f>
        <v>53</v>
      </c>
      <c r="C57" s="74">
        <v>46066</v>
      </c>
      <c r="D57" s="75" t="s">
        <v>390</v>
      </c>
      <c r="E57" s="51" t="str">
        <f>INDEX(Table5[KATEGORI PROGRAM],MATCH(Table1[[#This Row],[NAMA PROGRAM]],Table5[NAMA PROGRAM],0))</f>
        <v>Respon Bencana (Recovery)</v>
      </c>
      <c r="F57" s="42" t="s">
        <v>507</v>
      </c>
      <c r="G57" s="76" t="s">
        <v>508</v>
      </c>
      <c r="H57" s="52" t="s">
        <v>304</v>
      </c>
      <c r="I57" s="52" t="str">
        <f>INDEX(Table2[Kecamatan],MATCH(Table1[[#This Row],[KELURAHAN / DESA]],Table2[Kelurahan],0))</f>
        <v>Kejuruan Muda</v>
      </c>
      <c r="J57" s="52" t="str">
        <f>INDEX(Table2[Kabupaten/Kota],MATCH(Table1[[#This Row],[KECAMATAN]],Table2[Kecamatan],0))</f>
        <v>Aceh Tamiang</v>
      </c>
      <c r="K57" s="75" t="str">
        <f>INDEX(Table2[Provinsi],MATCH(Table1[[#This Row],[KAB./KOTA]],Table2[Kabupaten/Kota],0))</f>
        <v>Nangroe Aceh Darussalam</v>
      </c>
      <c r="L57" s="43">
        <v>55</v>
      </c>
      <c r="M57" s="52" t="s">
        <v>4</v>
      </c>
      <c r="N57" s="52" t="s">
        <v>463</v>
      </c>
      <c r="O57" s="67" t="s">
        <v>220</v>
      </c>
    </row>
    <row r="58" spans="2:15" ht="29" x14ac:dyDescent="0.35">
      <c r="B58" s="73">
        <f>IF(Table1[[#This Row],[TANGGAL]]="","",ROW(N54))</f>
        <v>54</v>
      </c>
      <c r="C58" s="74">
        <v>46066</v>
      </c>
      <c r="D58" s="75" t="s">
        <v>0</v>
      </c>
      <c r="E58" s="51" t="str">
        <f>INDEX(Table5[KATEGORI PROGRAM],MATCH(Table1[[#This Row],[NAMA PROGRAM]],Table5[NAMA PROGRAM],0))</f>
        <v>Pangan</v>
      </c>
      <c r="F58" s="42" t="s">
        <v>428</v>
      </c>
      <c r="G58" s="76" t="s">
        <v>429</v>
      </c>
      <c r="H58" s="52" t="s">
        <v>75</v>
      </c>
      <c r="I58" s="52" t="str">
        <f>INDEX(Table2[Kecamatan],MATCH(Table1[[#This Row],[KELURAHAN / DESA]],Table2[Kelurahan],0))</f>
        <v>Ilir Timur III</v>
      </c>
      <c r="J58" s="52" t="str">
        <f>INDEX(Table2[Kabupaten/Kota],MATCH(Table1[[#This Row],[KECAMATAN]],Table2[Kecamatan],0))</f>
        <v>Palembang</v>
      </c>
      <c r="K58" s="75" t="str">
        <f>INDEX(Table2[Provinsi],MATCH(Table1[[#This Row],[KAB./KOTA]],Table2[Kabupaten/Kota],0))</f>
        <v>Sumatera Selatan</v>
      </c>
      <c r="L58" s="43">
        <v>130</v>
      </c>
      <c r="M58" s="52" t="s">
        <v>416</v>
      </c>
      <c r="N58" s="52" t="s">
        <v>408</v>
      </c>
      <c r="O58" s="67" t="s">
        <v>241</v>
      </c>
    </row>
    <row r="59" spans="2:15" ht="29" x14ac:dyDescent="0.35">
      <c r="B59" s="73">
        <f>IF(Table1[[#This Row],[TANGGAL]]="","",ROW(N55))</f>
        <v>55</v>
      </c>
      <c r="C59" s="74">
        <v>46066</v>
      </c>
      <c r="D59" s="75" t="s">
        <v>0</v>
      </c>
      <c r="E59" s="51" t="str">
        <f>INDEX(Table5[KATEGORI PROGRAM],MATCH(Table1[[#This Row],[NAMA PROGRAM]],Table5[NAMA PROGRAM],0))</f>
        <v>Pangan</v>
      </c>
      <c r="F59" s="42" t="s">
        <v>430</v>
      </c>
      <c r="G59" s="76" t="s">
        <v>431</v>
      </c>
      <c r="H59" s="52" t="s">
        <v>49</v>
      </c>
      <c r="I59" s="52" t="str">
        <f>INDEX(Table2[Kecamatan],MATCH(Table1[[#This Row],[KELURAHAN / DESA]],Table2[Kelurahan],0))</f>
        <v>Ilir Barat I</v>
      </c>
      <c r="J59" s="52" t="str">
        <f>INDEX(Table2[Kabupaten/Kota],MATCH(Table1[[#This Row],[KECAMATAN]],Table2[Kecamatan],0))</f>
        <v>Palembang</v>
      </c>
      <c r="K59" s="75" t="str">
        <f>INDEX(Table2[Provinsi],MATCH(Table1[[#This Row],[KAB./KOTA]],Table2[Kabupaten/Kota],0))</f>
        <v>Sumatera Selatan</v>
      </c>
      <c r="L59" s="43">
        <v>100</v>
      </c>
      <c r="M59" s="52" t="s">
        <v>416</v>
      </c>
      <c r="N59" s="52" t="s">
        <v>408</v>
      </c>
      <c r="O59" s="67" t="s">
        <v>210</v>
      </c>
    </row>
    <row r="60" spans="2:15" ht="29" x14ac:dyDescent="0.35">
      <c r="B60" s="73">
        <f>IF(Table1[[#This Row],[TANGGAL]]="","",ROW(N56))</f>
        <v>56</v>
      </c>
      <c r="C60" s="74">
        <v>46066</v>
      </c>
      <c r="D60" s="75" t="s">
        <v>0</v>
      </c>
      <c r="E60" s="51" t="str">
        <f>INDEX(Table5[KATEGORI PROGRAM],MATCH(Table1[[#This Row],[NAMA PROGRAM]],Table5[NAMA PROGRAM],0))</f>
        <v>Pangan</v>
      </c>
      <c r="F60" s="42" t="s">
        <v>358</v>
      </c>
      <c r="G60" s="76" t="s">
        <v>242</v>
      </c>
      <c r="H60" s="52" t="s">
        <v>96</v>
      </c>
      <c r="I60" s="52" t="str">
        <f>INDEX(Table2[Kecamatan],MATCH(Table1[[#This Row],[KELURAHAN / DESA]],Table2[Kelurahan],0))</f>
        <v>Kertapati</v>
      </c>
      <c r="J60" s="52" t="str">
        <f>INDEX(Table2[Kabupaten/Kota],MATCH(Table1[[#This Row],[KECAMATAN]],Table2[Kecamatan],0))</f>
        <v>Palembang</v>
      </c>
      <c r="K60" s="75" t="str">
        <f>INDEX(Table2[Provinsi],MATCH(Table1[[#This Row],[KAB./KOTA]],Table2[Kabupaten/Kota],0))</f>
        <v>Sumatera Selatan</v>
      </c>
      <c r="L60" s="43">
        <v>100</v>
      </c>
      <c r="M60" s="52" t="s">
        <v>416</v>
      </c>
      <c r="N60" s="52" t="s">
        <v>408</v>
      </c>
      <c r="O60" s="67" t="s">
        <v>206</v>
      </c>
    </row>
    <row r="61" spans="2:15" ht="29" x14ac:dyDescent="0.35">
      <c r="B61" s="73">
        <f>IF(Table1[[#This Row],[TANGGAL]]="","",ROW(N57))</f>
        <v>57</v>
      </c>
      <c r="C61" s="74">
        <v>46066</v>
      </c>
      <c r="D61" s="75" t="s">
        <v>0</v>
      </c>
      <c r="E61" s="51" t="str">
        <f>INDEX(Table5[KATEGORI PROGRAM],MATCH(Table1[[#This Row],[NAMA PROGRAM]],Table5[NAMA PROGRAM],0))</f>
        <v>Pangan</v>
      </c>
      <c r="F61" s="42" t="s">
        <v>351</v>
      </c>
      <c r="G61" s="76" t="s">
        <v>309</v>
      </c>
      <c r="H61" s="52" t="s">
        <v>99</v>
      </c>
      <c r="I61" s="52" t="str">
        <f>INDEX(Table2[Kecamatan],MATCH(Table1[[#This Row],[KELURAHAN / DESA]],Table2[Kelurahan],0))</f>
        <v>Kertapati</v>
      </c>
      <c r="J61" s="52" t="str">
        <f>INDEX(Table2[Kabupaten/Kota],MATCH(Table1[[#This Row],[KECAMATAN]],Table2[Kecamatan],0))</f>
        <v>Palembang</v>
      </c>
      <c r="K61" s="75" t="str">
        <f>INDEX(Table2[Provinsi],MATCH(Table1[[#This Row],[KAB./KOTA]],Table2[Kabupaten/Kota],0))</f>
        <v>Sumatera Selatan</v>
      </c>
      <c r="L61" s="43">
        <v>120</v>
      </c>
      <c r="M61" s="52" t="s">
        <v>415</v>
      </c>
      <c r="N61" s="52" t="s">
        <v>408</v>
      </c>
      <c r="O61" s="67" t="s">
        <v>209</v>
      </c>
    </row>
    <row r="62" spans="2:15" ht="29" x14ac:dyDescent="0.35">
      <c r="B62" s="73">
        <f>IF(Table1[[#This Row],[TANGGAL]]="","",ROW(N58))</f>
        <v>58</v>
      </c>
      <c r="C62" s="74">
        <v>46066</v>
      </c>
      <c r="D62" s="75" t="s">
        <v>9</v>
      </c>
      <c r="E62" s="51" t="str">
        <f>INDEX(Table5[KATEGORI PROGRAM],MATCH(Table1[[#This Row],[NAMA PROGRAM]],Table5[NAMA PROGRAM],0))</f>
        <v>Pangan</v>
      </c>
      <c r="F62" s="42" t="s">
        <v>358</v>
      </c>
      <c r="G62" s="76" t="s">
        <v>242</v>
      </c>
      <c r="H62" s="52" t="s">
        <v>96</v>
      </c>
      <c r="I62" s="52" t="str">
        <f>INDEX(Table2[Kecamatan],MATCH(Table1[[#This Row],[KELURAHAN / DESA]],Table2[Kelurahan],0))</f>
        <v>Kertapati</v>
      </c>
      <c r="J62" s="52" t="str">
        <f>INDEX(Table2[Kabupaten/Kota],MATCH(Table1[[#This Row],[KECAMATAN]],Table2[Kecamatan],0))</f>
        <v>Palembang</v>
      </c>
      <c r="K62" s="75" t="str">
        <f>INDEX(Table2[Provinsi],MATCH(Table1[[#This Row],[KAB./KOTA]],Table2[Kabupaten/Kota],0))</f>
        <v>Sumatera Selatan</v>
      </c>
      <c r="L62" s="43">
        <v>100</v>
      </c>
      <c r="M62" s="52">
        <v>4</v>
      </c>
      <c r="N62" s="52" t="s">
        <v>408</v>
      </c>
      <c r="O62" s="67" t="s">
        <v>206</v>
      </c>
    </row>
    <row r="63" spans="2:15" ht="31" x14ac:dyDescent="0.35">
      <c r="B63" s="73">
        <f>IF(Table1[[#This Row],[TANGGAL]]="","",ROW(N59))</f>
        <v>59</v>
      </c>
      <c r="C63" s="74">
        <v>46067</v>
      </c>
      <c r="D63" s="75" t="s">
        <v>246</v>
      </c>
      <c r="E63" s="51" t="str">
        <f>INDEX(Table5[KATEGORI PROGRAM],MATCH(Table1[[#This Row],[NAMA PROGRAM]],Table5[NAMA PROGRAM],0))</f>
        <v>Pendidikan</v>
      </c>
      <c r="F63" s="42" t="s">
        <v>481</v>
      </c>
      <c r="G63" s="76" t="s">
        <v>482</v>
      </c>
      <c r="H63" s="52" t="s">
        <v>75</v>
      </c>
      <c r="I63" s="52" t="str">
        <f>INDEX(Table2[Kecamatan],MATCH(Table1[[#This Row],[KELURAHAN / DESA]],Table2[Kelurahan],0))</f>
        <v>Ilir Timur III</v>
      </c>
      <c r="J63" s="52" t="str">
        <f>INDEX(Table2[Kabupaten/Kota],MATCH(Table1[[#This Row],[KECAMATAN]],Table2[Kecamatan],0))</f>
        <v>Palembang</v>
      </c>
      <c r="K63" s="75" t="str">
        <f>INDEX(Table2[Provinsi],MATCH(Table1[[#This Row],[KAB./KOTA]],Table2[Kabupaten/Kota],0))</f>
        <v>Sumatera Selatan</v>
      </c>
      <c r="L63" s="43">
        <v>1</v>
      </c>
      <c r="M63" s="52" t="s">
        <v>500</v>
      </c>
      <c r="N63" s="52" t="s">
        <v>501</v>
      </c>
      <c r="O63" s="67" t="s">
        <v>207</v>
      </c>
    </row>
    <row r="64" spans="2:15" ht="29" x14ac:dyDescent="0.35">
      <c r="B64" s="73">
        <f>IF(Table1[[#This Row],[TANGGAL]]="","",ROW(N60))</f>
        <v>60</v>
      </c>
      <c r="C64" s="74">
        <v>46067</v>
      </c>
      <c r="D64" s="75" t="s">
        <v>246</v>
      </c>
      <c r="E64" s="51" t="str">
        <f>INDEX(Table5[KATEGORI PROGRAM],MATCH(Table1[[#This Row],[NAMA PROGRAM]],Table5[NAMA PROGRAM],0))</f>
        <v>Pendidikan</v>
      </c>
      <c r="F64" s="42" t="s">
        <v>481</v>
      </c>
      <c r="G64" s="76" t="s">
        <v>483</v>
      </c>
      <c r="H64" s="52" t="s">
        <v>75</v>
      </c>
      <c r="I64" s="52" t="str">
        <f>INDEX(Table2[Kecamatan],MATCH(Table1[[#This Row],[KELURAHAN / DESA]],Table2[Kelurahan],0))</f>
        <v>Ilir Timur III</v>
      </c>
      <c r="J64" s="52" t="str">
        <f>INDEX(Table2[Kabupaten/Kota],MATCH(Table1[[#This Row],[KECAMATAN]],Table2[Kecamatan],0))</f>
        <v>Palembang</v>
      </c>
      <c r="K64" s="75" t="str">
        <f>INDEX(Table2[Provinsi],MATCH(Table1[[#This Row],[KAB./KOTA]],Table2[Kabupaten/Kota],0))</f>
        <v>Sumatera Selatan</v>
      </c>
      <c r="L64" s="43">
        <v>1</v>
      </c>
      <c r="M64" s="52" t="s">
        <v>500</v>
      </c>
      <c r="N64" s="52" t="s">
        <v>501</v>
      </c>
      <c r="O64" s="67" t="s">
        <v>207</v>
      </c>
    </row>
    <row r="65" spans="2:15" ht="31" x14ac:dyDescent="0.35">
      <c r="B65" s="73">
        <f>IF(Table1[[#This Row],[TANGGAL]]="","",ROW(N61))</f>
        <v>61</v>
      </c>
      <c r="C65" s="74">
        <v>46067</v>
      </c>
      <c r="D65" s="75" t="s">
        <v>246</v>
      </c>
      <c r="E65" s="51" t="str">
        <f>INDEX(Table5[KATEGORI PROGRAM],MATCH(Table1[[#This Row],[NAMA PROGRAM]],Table5[NAMA PROGRAM],0))</f>
        <v>Pendidikan</v>
      </c>
      <c r="F65" s="42" t="s">
        <v>484</v>
      </c>
      <c r="G65" s="76" t="s">
        <v>485</v>
      </c>
      <c r="H65" s="52" t="s">
        <v>82</v>
      </c>
      <c r="I65" s="52" t="str">
        <f>INDEX(Table2[Kecamatan],MATCH(Table1[[#This Row],[KELURAHAN / DESA]],Table2[Kelurahan],0))</f>
        <v>Jakabaring</v>
      </c>
      <c r="J65" s="52" t="str">
        <f>INDEX(Table2[Kabupaten/Kota],MATCH(Table1[[#This Row],[KECAMATAN]],Table2[Kecamatan],0))</f>
        <v>Palembang</v>
      </c>
      <c r="K65" s="75" t="str">
        <f>INDEX(Table2[Provinsi],MATCH(Table1[[#This Row],[KAB./KOTA]],Table2[Kabupaten/Kota],0))</f>
        <v>Sumatera Selatan</v>
      </c>
      <c r="L65" s="43">
        <v>1</v>
      </c>
      <c r="M65" s="52" t="s">
        <v>500</v>
      </c>
      <c r="N65" s="52" t="s">
        <v>501</v>
      </c>
      <c r="O65" s="67" t="s">
        <v>207</v>
      </c>
    </row>
    <row r="66" spans="2:15" ht="31" x14ac:dyDescent="0.35">
      <c r="B66" s="73">
        <f>IF(Table1[[#This Row],[TANGGAL]]="","",ROW(N62))</f>
        <v>62</v>
      </c>
      <c r="C66" s="74">
        <v>46067</v>
      </c>
      <c r="D66" s="75" t="s">
        <v>246</v>
      </c>
      <c r="E66" s="51" t="str">
        <f>INDEX(Table5[KATEGORI PROGRAM],MATCH(Table1[[#This Row],[NAMA PROGRAM]],Table5[NAMA PROGRAM],0))</f>
        <v>Pendidikan</v>
      </c>
      <c r="F66" s="42" t="s">
        <v>486</v>
      </c>
      <c r="G66" s="76" t="s">
        <v>487</v>
      </c>
      <c r="H66" s="52" t="s">
        <v>82</v>
      </c>
      <c r="I66" s="52" t="str">
        <f>INDEX(Table2[Kecamatan],MATCH(Table1[[#This Row],[KELURAHAN / DESA]],Table2[Kelurahan],0))</f>
        <v>Jakabaring</v>
      </c>
      <c r="J66" s="52" t="str">
        <f>INDEX(Table2[Kabupaten/Kota],MATCH(Table1[[#This Row],[KECAMATAN]],Table2[Kecamatan],0))</f>
        <v>Palembang</v>
      </c>
      <c r="K66" s="75" t="str">
        <f>INDEX(Table2[Provinsi],MATCH(Table1[[#This Row],[KAB./KOTA]],Table2[Kabupaten/Kota],0))</f>
        <v>Sumatera Selatan</v>
      </c>
      <c r="L66" s="43">
        <v>1</v>
      </c>
      <c r="M66" s="52" t="s">
        <v>500</v>
      </c>
      <c r="N66" s="52" t="s">
        <v>503</v>
      </c>
      <c r="O66" s="67" t="s">
        <v>207</v>
      </c>
    </row>
    <row r="67" spans="2:15" ht="31" x14ac:dyDescent="0.35">
      <c r="B67" s="73">
        <f>IF(Table1[[#This Row],[TANGGAL]]="","",ROW(N63))</f>
        <v>63</v>
      </c>
      <c r="C67" s="74">
        <v>46067</v>
      </c>
      <c r="D67" s="75" t="s">
        <v>246</v>
      </c>
      <c r="E67" s="51" t="str">
        <f>INDEX(Table5[KATEGORI PROGRAM],MATCH(Table1[[#This Row],[NAMA PROGRAM]],Table5[NAMA PROGRAM],0))</f>
        <v>Pendidikan</v>
      </c>
      <c r="F67" s="42" t="s">
        <v>488</v>
      </c>
      <c r="G67" s="76" t="s">
        <v>489</v>
      </c>
      <c r="H67" s="52" t="s">
        <v>47</v>
      </c>
      <c r="I67" s="52" t="str">
        <f>INDEX(Table2[Kecamatan],MATCH(Table1[[#This Row],[KELURAHAN / DESA]],Table2[Kelurahan],0))</f>
        <v>Ilir Barat I</v>
      </c>
      <c r="J67" s="52" t="str">
        <f>INDEX(Table2[Kabupaten/Kota],MATCH(Table1[[#This Row],[KECAMATAN]],Table2[Kecamatan],0))</f>
        <v>Palembang</v>
      </c>
      <c r="K67" s="75" t="str">
        <f>INDEX(Table2[Provinsi],MATCH(Table1[[#This Row],[KAB./KOTA]],Table2[Kabupaten/Kota],0))</f>
        <v>Sumatera Selatan</v>
      </c>
      <c r="L67" s="43">
        <v>1</v>
      </c>
      <c r="M67" s="52" t="s">
        <v>500</v>
      </c>
      <c r="N67" s="52" t="s">
        <v>503</v>
      </c>
      <c r="O67" s="67" t="s">
        <v>207</v>
      </c>
    </row>
    <row r="68" spans="2:15" ht="31" x14ac:dyDescent="0.35">
      <c r="B68" s="73">
        <f>IF(Table1[[#This Row],[TANGGAL]]="","",ROW(N64))</f>
        <v>64</v>
      </c>
      <c r="C68" s="74">
        <v>46067</v>
      </c>
      <c r="D68" s="75" t="s">
        <v>246</v>
      </c>
      <c r="E68" s="51" t="str">
        <f>INDEX(Table5[KATEGORI PROGRAM],MATCH(Table1[[#This Row],[NAMA PROGRAM]],Table5[NAMA PROGRAM],0))</f>
        <v>Pendidikan</v>
      </c>
      <c r="F68" s="42" t="s">
        <v>488</v>
      </c>
      <c r="G68" s="76" t="s">
        <v>490</v>
      </c>
      <c r="H68" s="52" t="s">
        <v>47</v>
      </c>
      <c r="I68" s="52" t="str">
        <f>INDEX(Table2[Kecamatan],MATCH(Table1[[#This Row],[KELURAHAN / DESA]],Table2[Kelurahan],0))</f>
        <v>Ilir Barat I</v>
      </c>
      <c r="J68" s="52" t="str">
        <f>INDEX(Table2[Kabupaten/Kota],MATCH(Table1[[#This Row],[KECAMATAN]],Table2[Kecamatan],0))</f>
        <v>Palembang</v>
      </c>
      <c r="K68" s="75" t="str">
        <f>INDEX(Table2[Provinsi],MATCH(Table1[[#This Row],[KAB./KOTA]],Table2[Kabupaten/Kota],0))</f>
        <v>Sumatera Selatan</v>
      </c>
      <c r="L68" s="43">
        <v>1</v>
      </c>
      <c r="M68" s="52" t="s">
        <v>500</v>
      </c>
      <c r="N68" s="52" t="s">
        <v>503</v>
      </c>
      <c r="O68" s="67" t="s">
        <v>207</v>
      </c>
    </row>
    <row r="69" spans="2:15" ht="31" x14ac:dyDescent="0.35">
      <c r="B69" s="73">
        <f>IF(Table1[[#This Row],[TANGGAL]]="","",ROW(N65))</f>
        <v>65</v>
      </c>
      <c r="C69" s="74">
        <v>46067</v>
      </c>
      <c r="D69" s="75" t="s">
        <v>246</v>
      </c>
      <c r="E69" s="51" t="str">
        <f>INDEX(Table5[KATEGORI PROGRAM],MATCH(Table1[[#This Row],[NAMA PROGRAM]],Table5[NAMA PROGRAM],0))</f>
        <v>Pendidikan</v>
      </c>
      <c r="F69" s="42" t="s">
        <v>491</v>
      </c>
      <c r="G69" s="76" t="s">
        <v>492</v>
      </c>
      <c r="H69" s="52" t="s">
        <v>87</v>
      </c>
      <c r="I69" s="52" t="str">
        <f>INDEX(Table2[Kecamatan],MATCH(Table1[[#This Row],[KELURAHAN / DESA]],Table2[Kelurahan],0))</f>
        <v>Kalidoni</v>
      </c>
      <c r="J69" s="52" t="str">
        <f>INDEX(Table2[Kabupaten/Kota],MATCH(Table1[[#This Row],[KECAMATAN]],Table2[Kecamatan],0))</f>
        <v>Banyuasin</v>
      </c>
      <c r="K69" s="75" t="str">
        <f>INDEX(Table2[Provinsi],MATCH(Table1[[#This Row],[KAB./KOTA]],Table2[Kabupaten/Kota],0))</f>
        <v>Sumatera Selatan</v>
      </c>
      <c r="L69" s="43">
        <v>1</v>
      </c>
      <c r="M69" s="52" t="s">
        <v>500</v>
      </c>
      <c r="N69" s="52" t="s">
        <v>502</v>
      </c>
      <c r="O69" s="67" t="s">
        <v>207</v>
      </c>
    </row>
    <row r="70" spans="2:15" ht="29" x14ac:dyDescent="0.35">
      <c r="B70" s="73">
        <f>IF(Table1[[#This Row],[TANGGAL]]="","",ROW(N66))</f>
        <v>66</v>
      </c>
      <c r="C70" s="74">
        <v>46067</v>
      </c>
      <c r="D70" s="75" t="s">
        <v>246</v>
      </c>
      <c r="E70" s="51" t="str">
        <f>INDEX(Table5[KATEGORI PROGRAM],MATCH(Table1[[#This Row],[NAMA PROGRAM]],Table5[NAMA PROGRAM],0))</f>
        <v>Pendidikan</v>
      </c>
      <c r="F70" s="42" t="s">
        <v>493</v>
      </c>
      <c r="G70" s="76" t="s">
        <v>494</v>
      </c>
      <c r="H70" s="52" t="s">
        <v>99</v>
      </c>
      <c r="I70" s="52" t="str">
        <f>INDEX(Table2[Kecamatan],MATCH(Table1[[#This Row],[KELURAHAN / DESA]],Table2[Kelurahan],0))</f>
        <v>Kertapati</v>
      </c>
      <c r="J70" s="52" t="str">
        <f>INDEX(Table2[Kabupaten/Kota],MATCH(Table1[[#This Row],[KECAMATAN]],Table2[Kecamatan],0))</f>
        <v>Palembang</v>
      </c>
      <c r="K70" s="75" t="str">
        <f>INDEX(Table2[Provinsi],MATCH(Table1[[#This Row],[KAB./KOTA]],Table2[Kabupaten/Kota],0))</f>
        <v>Sumatera Selatan</v>
      </c>
      <c r="L70" s="43">
        <v>1</v>
      </c>
      <c r="M70" s="52" t="s">
        <v>500</v>
      </c>
      <c r="N70" s="52" t="s">
        <v>502</v>
      </c>
      <c r="O70" s="67" t="s">
        <v>207</v>
      </c>
    </row>
    <row r="71" spans="2:15" ht="31" x14ac:dyDescent="0.35">
      <c r="B71" s="73">
        <f>IF(Table1[[#This Row],[TANGGAL]]="","",ROW(N67))</f>
        <v>67</v>
      </c>
      <c r="C71" s="74">
        <v>46067</v>
      </c>
      <c r="D71" s="75" t="s">
        <v>246</v>
      </c>
      <c r="E71" s="51" t="str">
        <f>INDEX(Table5[KATEGORI PROGRAM],MATCH(Table1[[#This Row],[NAMA PROGRAM]],Table5[NAMA PROGRAM],0))</f>
        <v>Pendidikan</v>
      </c>
      <c r="F71" s="42" t="s">
        <v>495</v>
      </c>
      <c r="G71" s="76" t="s">
        <v>496</v>
      </c>
      <c r="H71" s="52" t="s">
        <v>49</v>
      </c>
      <c r="I71" s="52" t="str">
        <f>INDEX(Table2[Kecamatan],MATCH(Table1[[#This Row],[KELURAHAN / DESA]],Table2[Kelurahan],0))</f>
        <v>Ilir Barat I</v>
      </c>
      <c r="J71" s="52" t="str">
        <f>INDEX(Table2[Kabupaten/Kota],MATCH(Table1[[#This Row],[KECAMATAN]],Table2[Kecamatan],0))</f>
        <v>Palembang</v>
      </c>
      <c r="K71" s="75" t="str">
        <f>INDEX(Table2[Provinsi],MATCH(Table1[[#This Row],[KAB./KOTA]],Table2[Kabupaten/Kota],0))</f>
        <v>Sumatera Selatan</v>
      </c>
      <c r="L71" s="43">
        <v>1</v>
      </c>
      <c r="M71" s="52" t="s">
        <v>500</v>
      </c>
      <c r="N71" s="52" t="s">
        <v>502</v>
      </c>
      <c r="O71" s="67" t="s">
        <v>207</v>
      </c>
    </row>
    <row r="72" spans="2:15" ht="31" x14ac:dyDescent="0.35">
      <c r="B72" s="73">
        <f>IF(Table1[[#This Row],[TANGGAL]]="","",ROW(N68))</f>
        <v>68</v>
      </c>
      <c r="C72" s="74">
        <v>46067</v>
      </c>
      <c r="D72" s="75" t="s">
        <v>246</v>
      </c>
      <c r="E72" s="51" t="str">
        <f>INDEX(Table5[KATEGORI PROGRAM],MATCH(Table1[[#This Row],[NAMA PROGRAM]],Table5[NAMA PROGRAM],0))</f>
        <v>Pendidikan</v>
      </c>
      <c r="F72" s="42" t="s">
        <v>497</v>
      </c>
      <c r="G72" s="76" t="s">
        <v>498</v>
      </c>
      <c r="H72" s="52" t="s">
        <v>248</v>
      </c>
      <c r="I72" s="52" t="str">
        <f>INDEX(Table2[Kecamatan],MATCH(Table1[[#This Row],[KELURAHAN / DESA]],Table2[Kelurahan],0))</f>
        <v>Indralaya</v>
      </c>
      <c r="J72" s="52" t="str">
        <f>INDEX(Table2[Kabupaten/Kota],MATCH(Table1[[#This Row],[KECAMATAN]],Table2[Kecamatan],0))</f>
        <v>Ogan Ilir</v>
      </c>
      <c r="K72" s="75" t="str">
        <f>INDEX(Table2[Provinsi],MATCH(Table1[[#This Row],[KAB./KOTA]],Table2[Kabupaten/Kota],0))</f>
        <v>Sumatera Selatan</v>
      </c>
      <c r="L72" s="43">
        <v>1</v>
      </c>
      <c r="M72" s="52" t="s">
        <v>500</v>
      </c>
      <c r="N72" s="52" t="s">
        <v>504</v>
      </c>
      <c r="O72" s="67" t="s">
        <v>207</v>
      </c>
    </row>
    <row r="73" spans="2:15" ht="31" x14ac:dyDescent="0.35">
      <c r="B73" s="73">
        <f>IF(Table1[[#This Row],[TANGGAL]]="","",ROW(N69))</f>
        <v>69</v>
      </c>
      <c r="C73" s="74">
        <v>46067</v>
      </c>
      <c r="D73" s="75" t="s">
        <v>246</v>
      </c>
      <c r="E73" s="51" t="str">
        <f>INDEX(Table5[KATEGORI PROGRAM],MATCH(Table1[[#This Row],[NAMA PROGRAM]],Table5[NAMA PROGRAM],0))</f>
        <v>Pendidikan</v>
      </c>
      <c r="F73" s="42" t="s">
        <v>497</v>
      </c>
      <c r="G73" s="76" t="s">
        <v>499</v>
      </c>
      <c r="H73" s="52" t="s">
        <v>248</v>
      </c>
      <c r="I73" s="52" t="str">
        <f>INDEX(Table2[Kecamatan],MATCH(Table1[[#This Row],[KELURAHAN / DESA]],Table2[Kelurahan],0))</f>
        <v>Indralaya</v>
      </c>
      <c r="J73" s="52" t="str">
        <f>INDEX(Table2[Kabupaten/Kota],MATCH(Table1[[#This Row],[KECAMATAN]],Table2[Kecamatan],0))</f>
        <v>Ogan Ilir</v>
      </c>
      <c r="K73" s="75" t="str">
        <f>INDEX(Table2[Provinsi],MATCH(Table1[[#This Row],[KAB./KOTA]],Table2[Kabupaten/Kota],0))</f>
        <v>Sumatera Selatan</v>
      </c>
      <c r="L73" s="43">
        <v>1</v>
      </c>
      <c r="M73" s="52" t="s">
        <v>500</v>
      </c>
      <c r="N73" s="52" t="s">
        <v>504</v>
      </c>
      <c r="O73" s="67" t="s">
        <v>207</v>
      </c>
    </row>
    <row r="74" spans="2:15" ht="31" x14ac:dyDescent="0.35">
      <c r="B74" s="73">
        <f>IF(Table1[[#This Row],[TANGGAL]]="","",ROW(N70))</f>
        <v>70</v>
      </c>
      <c r="C74" s="74">
        <v>46067</v>
      </c>
      <c r="D74" s="75" t="s">
        <v>319</v>
      </c>
      <c r="E74" s="51" t="str">
        <f>INDEX(Table5[KATEGORI PROGRAM],MATCH(Table1[[#This Row],[NAMA PROGRAM]],Table5[NAMA PROGRAM],0))</f>
        <v>Respon Bencana (Pangan)</v>
      </c>
      <c r="F74" s="42" t="s">
        <v>437</v>
      </c>
      <c r="G74" s="76" t="s">
        <v>438</v>
      </c>
      <c r="H74" s="52" t="s">
        <v>97</v>
      </c>
      <c r="I74" s="52" t="str">
        <f>INDEX(Table2[Kecamatan],MATCH(Table1[[#This Row],[KELURAHAN / DESA]],Table2[Kelurahan],0))</f>
        <v>Kertapati</v>
      </c>
      <c r="J74" s="52" t="str">
        <f>INDEX(Table2[Kabupaten/Kota],MATCH(Table1[[#This Row],[KECAMATAN]],Table2[Kecamatan],0))</f>
        <v>Palembang</v>
      </c>
      <c r="K74" s="75" t="str">
        <f>INDEX(Table2[Provinsi],MATCH(Table1[[#This Row],[KAB./KOTA]],Table2[Kabupaten/Kota],0))</f>
        <v>Sumatera Selatan</v>
      </c>
      <c r="L74" s="43">
        <v>50</v>
      </c>
      <c r="M74" s="52" t="s">
        <v>441</v>
      </c>
      <c r="N74" s="52" t="s">
        <v>439</v>
      </c>
      <c r="O74" s="67" t="s">
        <v>220</v>
      </c>
    </row>
    <row r="75" spans="2:15" ht="29" x14ac:dyDescent="0.35">
      <c r="B75" s="73">
        <f>IF(Table1[[#This Row],[TANGGAL]]="","",ROW(N71))</f>
        <v>71</v>
      </c>
      <c r="C75" s="74">
        <v>46067</v>
      </c>
      <c r="D75" s="75" t="s">
        <v>2</v>
      </c>
      <c r="E75" s="51" t="str">
        <f>INDEX(Table5[KATEGORI PROGRAM],MATCH(Table1[[#This Row],[NAMA PROGRAM]],Table5[NAMA PROGRAM],0))</f>
        <v>Pendidikan</v>
      </c>
      <c r="F75" s="42" t="s">
        <v>403</v>
      </c>
      <c r="G75" s="76" t="s">
        <v>404</v>
      </c>
      <c r="H75" s="52" t="s">
        <v>99</v>
      </c>
      <c r="I75" s="52" t="str">
        <f>INDEX(Table2[Kecamatan],MATCH(Table1[[#This Row],[KELURAHAN / DESA]],Table2[Kelurahan],0))</f>
        <v>Kertapati</v>
      </c>
      <c r="J75" s="52" t="str">
        <f>INDEX(Table2[Kabupaten/Kota],MATCH(Table1[[#This Row],[KECAMATAN]],Table2[Kecamatan],0))</f>
        <v>Palembang</v>
      </c>
      <c r="K75" s="75" t="str">
        <f>INDEX(Table2[Provinsi],MATCH(Table1[[#This Row],[KAB./KOTA]],Table2[Kabupaten/Kota],0))</f>
        <v>Sumatera Selatan</v>
      </c>
      <c r="L75" s="43">
        <v>99</v>
      </c>
      <c r="M75" s="52">
        <v>5</v>
      </c>
      <c r="N75" s="52" t="s">
        <v>405</v>
      </c>
      <c r="O75" s="67" t="s">
        <v>206</v>
      </c>
    </row>
    <row r="76" spans="2:15" ht="29" x14ac:dyDescent="0.35">
      <c r="B76" s="73">
        <f>IF(Table1[[#This Row],[TANGGAL]]="","",ROW(N72))</f>
        <v>72</v>
      </c>
      <c r="C76" s="74">
        <v>46067</v>
      </c>
      <c r="D76" s="75" t="s">
        <v>3</v>
      </c>
      <c r="E76" s="51" t="str">
        <f>INDEX(Table5[KATEGORI PROGRAM],MATCH(Table1[[#This Row],[NAMA PROGRAM]],Table5[NAMA PROGRAM],0))</f>
        <v>Pendidikan</v>
      </c>
      <c r="F76" s="42" t="s">
        <v>352</v>
      </c>
      <c r="G76" s="76" t="s">
        <v>3</v>
      </c>
      <c r="H76" s="52" t="s">
        <v>82</v>
      </c>
      <c r="I76" s="52" t="str">
        <f>INDEX(Table2[Kecamatan],MATCH(Table1[[#This Row],[KELURAHAN / DESA]],Table2[Kelurahan],0))</f>
        <v>Jakabaring</v>
      </c>
      <c r="J76" s="52" t="str">
        <f>INDEX(Table2[Kabupaten/Kota],MATCH(Table1[[#This Row],[KECAMATAN]],Table2[Kecamatan],0))</f>
        <v>Palembang</v>
      </c>
      <c r="K76" s="75" t="str">
        <f>INDEX(Table2[Provinsi],MATCH(Table1[[#This Row],[KAB./KOTA]],Table2[Kabupaten/Kota],0))</f>
        <v>Sumatera Selatan</v>
      </c>
      <c r="L76" s="43">
        <v>20</v>
      </c>
      <c r="M76" s="52">
        <v>2</v>
      </c>
      <c r="N76" s="52" t="s">
        <v>244</v>
      </c>
      <c r="O76" s="67" t="s">
        <v>206</v>
      </c>
    </row>
    <row r="77" spans="2:15" ht="29" x14ac:dyDescent="0.35">
      <c r="B77" s="73">
        <f>IF(Table1[[#This Row],[TANGGAL]]="","",ROW(N73))</f>
        <v>73</v>
      </c>
      <c r="C77" s="74">
        <v>46067</v>
      </c>
      <c r="D77" s="75" t="s">
        <v>7</v>
      </c>
      <c r="E77" s="51" t="str">
        <f>INDEX(Table5[KATEGORI PROGRAM],MATCH(Table1[[#This Row],[NAMA PROGRAM]],Table5[NAMA PROGRAM],0))</f>
        <v>Pendidikan</v>
      </c>
      <c r="F77" s="42" t="s">
        <v>351</v>
      </c>
      <c r="G77" s="76" t="s">
        <v>237</v>
      </c>
      <c r="H77" s="52" t="s">
        <v>99</v>
      </c>
      <c r="I77" s="52" t="str">
        <f>INDEX(Table2[Kecamatan],MATCH(Table1[[#This Row],[KELURAHAN / DESA]],Table2[Kelurahan],0))</f>
        <v>Kertapati</v>
      </c>
      <c r="J77" s="52" t="str">
        <f>INDEX(Table2[Kabupaten/Kota],MATCH(Table1[[#This Row],[KECAMATAN]],Table2[Kecamatan],0))</f>
        <v>Palembang</v>
      </c>
      <c r="K77" s="75" t="str">
        <f>INDEX(Table2[Provinsi],MATCH(Table1[[#This Row],[KAB./KOTA]],Table2[Kabupaten/Kota],0))</f>
        <v>Sumatera Selatan</v>
      </c>
      <c r="L77" s="43">
        <v>48</v>
      </c>
      <c r="M77" s="52">
        <v>3</v>
      </c>
      <c r="N77" s="52" t="s">
        <v>238</v>
      </c>
      <c r="O77" s="67" t="s">
        <v>206</v>
      </c>
    </row>
    <row r="78" spans="2:15" ht="31" x14ac:dyDescent="0.35">
      <c r="B78" s="73">
        <f>IF(Table1[[#This Row],[TANGGAL]]="","",ROW(N74))</f>
        <v>74</v>
      </c>
      <c r="C78" s="74">
        <v>46067</v>
      </c>
      <c r="D78" s="75" t="s">
        <v>169</v>
      </c>
      <c r="E78" s="51" t="str">
        <f>INDEX(Table5[KATEGORI PROGRAM],MATCH(Table1[[#This Row],[NAMA PROGRAM]],Table5[NAMA PROGRAM],0))</f>
        <v>Respon Bencana (Recovery)</v>
      </c>
      <c r="F78" s="42" t="s">
        <v>437</v>
      </c>
      <c r="G78" s="76" t="s">
        <v>438</v>
      </c>
      <c r="H78" s="52" t="s">
        <v>97</v>
      </c>
      <c r="I78" s="52" t="str">
        <f>INDEX(Table2[Kecamatan],MATCH(Table1[[#This Row],[KELURAHAN / DESA]],Table2[Kelurahan],0))</f>
        <v>Kertapati</v>
      </c>
      <c r="J78" s="52" t="str">
        <f>INDEX(Table2[Kabupaten/Kota],MATCH(Table1[[#This Row],[KECAMATAN]],Table2[Kecamatan],0))</f>
        <v>Palembang</v>
      </c>
      <c r="K78" s="75" t="str">
        <f>INDEX(Table2[Provinsi],MATCH(Table1[[#This Row],[KAB./KOTA]],Table2[Kabupaten/Kota],0))</f>
        <v>Sumatera Selatan</v>
      </c>
      <c r="L78" s="43">
        <v>50</v>
      </c>
      <c r="M78" s="52" t="s">
        <v>440</v>
      </c>
      <c r="N78" s="52" t="s">
        <v>439</v>
      </c>
      <c r="O78" s="67" t="s">
        <v>220</v>
      </c>
    </row>
    <row r="79" spans="2:15" ht="31" x14ac:dyDescent="0.35">
      <c r="B79" s="73">
        <f>IF(Table1[[#This Row],[TANGGAL]]="","",ROW(N75))</f>
        <v>75</v>
      </c>
      <c r="C79" s="74">
        <v>46067</v>
      </c>
      <c r="D79" s="75" t="s">
        <v>9</v>
      </c>
      <c r="E79" s="51" t="str">
        <f>INDEX(Table5[KATEGORI PROGRAM],MATCH(Table1[[#This Row],[NAMA PROGRAM]],Table5[NAMA PROGRAM],0))</f>
        <v>Pangan</v>
      </c>
      <c r="F79" s="42" t="s">
        <v>437</v>
      </c>
      <c r="G79" s="76" t="s">
        <v>438</v>
      </c>
      <c r="H79" s="52" t="s">
        <v>97</v>
      </c>
      <c r="I79" s="52" t="str">
        <f>INDEX(Table2[Kecamatan],MATCH(Table1[[#This Row],[KELURAHAN / DESA]],Table2[Kelurahan],0))</f>
        <v>Kertapati</v>
      </c>
      <c r="J79" s="52" t="str">
        <f>INDEX(Table2[Kabupaten/Kota],MATCH(Table1[[#This Row],[KECAMATAN]],Table2[Kecamatan],0))</f>
        <v>Palembang</v>
      </c>
      <c r="K79" s="75" t="str">
        <f>INDEX(Table2[Provinsi],MATCH(Table1[[#This Row],[KAB./KOTA]],Table2[Kabupaten/Kota],0))</f>
        <v>Sumatera Selatan</v>
      </c>
      <c r="L79" s="43">
        <v>50</v>
      </c>
      <c r="M79" s="52">
        <v>3</v>
      </c>
      <c r="N79" s="52" t="s">
        <v>439</v>
      </c>
      <c r="O79" s="67" t="s">
        <v>220</v>
      </c>
    </row>
    <row r="80" spans="2:15" ht="29" x14ac:dyDescent="0.35">
      <c r="B80" s="73">
        <f>IF(Table1[[#This Row],[TANGGAL]]="","",ROW(N76))</f>
        <v>76</v>
      </c>
      <c r="C80" s="74">
        <v>46067</v>
      </c>
      <c r="D80" s="75" t="s">
        <v>6</v>
      </c>
      <c r="E80" s="51" t="str">
        <f>INDEX(Table5[KATEGORI PROGRAM],MATCH(Table1[[#This Row],[NAMA PROGRAM]],Table5[NAMA PROGRAM],0))</f>
        <v>Pendidikan</v>
      </c>
      <c r="F80" s="42" t="s">
        <v>358</v>
      </c>
      <c r="G80" s="76" t="s">
        <v>242</v>
      </c>
      <c r="H80" s="52" t="s">
        <v>96</v>
      </c>
      <c r="I80" s="52" t="str">
        <f>INDEX(Table2[Kecamatan],MATCH(Table1[[#This Row],[KELURAHAN / DESA]],Table2[Kelurahan],0))</f>
        <v>Kertapati</v>
      </c>
      <c r="J80" s="52" t="str">
        <f>INDEX(Table2[Kabupaten/Kota],MATCH(Table1[[#This Row],[KECAMATAN]],Table2[Kecamatan],0))</f>
        <v>Palembang</v>
      </c>
      <c r="K80" s="75" t="str">
        <f>INDEX(Table2[Provinsi],MATCH(Table1[[#This Row],[KAB./KOTA]],Table2[Kabupaten/Kota],0))</f>
        <v>Sumatera Selatan</v>
      </c>
      <c r="L80" s="43">
        <v>55</v>
      </c>
      <c r="M80" s="52">
        <v>3</v>
      </c>
      <c r="N80" s="52" t="s">
        <v>243</v>
      </c>
      <c r="O80" s="67" t="s">
        <v>206</v>
      </c>
    </row>
    <row r="81" spans="2:15" ht="29" x14ac:dyDescent="0.35">
      <c r="B81" s="73">
        <f>IF(Table1[[#This Row],[TANGGAL]]="","",ROW(N77))</f>
        <v>77</v>
      </c>
      <c r="C81" s="74">
        <v>46068</v>
      </c>
      <c r="D81" s="75" t="s">
        <v>9</v>
      </c>
      <c r="E81" s="51" t="str">
        <f>INDEX(Table5[KATEGORI PROGRAM],MATCH(Table1[[#This Row],[NAMA PROGRAM]],Table5[NAMA PROGRAM],0))</f>
        <v>Pangan</v>
      </c>
      <c r="F81" s="42" t="s">
        <v>435</v>
      </c>
      <c r="G81" s="76" t="s">
        <v>442</v>
      </c>
      <c r="H81" s="52" t="s">
        <v>40</v>
      </c>
      <c r="I81" s="52" t="str">
        <f>INDEX(Table2[Kecamatan],MATCH(Table1[[#This Row],[KELURAHAN / DESA]],Table2[Kelurahan],0))</f>
        <v>Bukit Kecil</v>
      </c>
      <c r="J81" s="52" t="str">
        <f>INDEX(Table2[Kabupaten/Kota],MATCH(Table1[[#This Row],[KECAMATAN]],Table2[Kecamatan],0))</f>
        <v>Palembang</v>
      </c>
      <c r="K81" s="75" t="str">
        <f>INDEX(Table2[Provinsi],MATCH(Table1[[#This Row],[KAB./KOTA]],Table2[Kabupaten/Kota],0))</f>
        <v>Sumatera Selatan</v>
      </c>
      <c r="L81" s="43">
        <v>600</v>
      </c>
      <c r="M81" s="52">
        <v>25</v>
      </c>
      <c r="N81" s="52" t="s">
        <v>408</v>
      </c>
      <c r="O81" s="67" t="s">
        <v>220</v>
      </c>
    </row>
    <row r="82" spans="2:15" ht="31" x14ac:dyDescent="0.35">
      <c r="B82" s="73">
        <f>IF(Table1[[#This Row],[TANGGAL]]="","",ROW(N78))</f>
        <v>78</v>
      </c>
      <c r="C82" s="74">
        <v>46069</v>
      </c>
      <c r="D82" s="75" t="s">
        <v>390</v>
      </c>
      <c r="E82" s="51" t="str">
        <f>INDEX(Table5[KATEGORI PROGRAM],MATCH(Table1[[#This Row],[NAMA PROGRAM]],Table5[NAMA PROGRAM],0))</f>
        <v>Respon Bencana (Recovery)</v>
      </c>
      <c r="F82" s="42" t="s">
        <v>507</v>
      </c>
      <c r="G82" s="76" t="s">
        <v>508</v>
      </c>
      <c r="H82" s="52" t="s">
        <v>304</v>
      </c>
      <c r="I82" s="52" t="str">
        <f>INDEX(Table2[Kecamatan],MATCH(Table1[[#This Row],[KELURAHAN / DESA]],Table2[Kelurahan],0))</f>
        <v>Kejuruan Muda</v>
      </c>
      <c r="J82" s="52" t="str">
        <f>INDEX(Table2[Kabupaten/Kota],MATCH(Table1[[#This Row],[KECAMATAN]],Table2[Kecamatan],0))</f>
        <v>Aceh Tamiang</v>
      </c>
      <c r="K82" s="75" t="str">
        <f>INDEX(Table2[Provinsi],MATCH(Table1[[#This Row],[KAB./KOTA]],Table2[Kabupaten/Kota],0))</f>
        <v>Nangroe Aceh Darussalam</v>
      </c>
      <c r="L82" s="43">
        <v>27</v>
      </c>
      <c r="M82" s="52" t="s">
        <v>4</v>
      </c>
      <c r="N82" s="52" t="s">
        <v>463</v>
      </c>
      <c r="O82" s="67" t="s">
        <v>220</v>
      </c>
    </row>
    <row r="83" spans="2:15" ht="31" x14ac:dyDescent="0.35">
      <c r="B83" s="73">
        <f>IF(Table1[[#This Row],[TANGGAL]]="","",ROW(N79))</f>
        <v>79</v>
      </c>
      <c r="C83" s="74">
        <v>46069</v>
      </c>
      <c r="D83" s="75" t="s">
        <v>9</v>
      </c>
      <c r="E83" s="51" t="str">
        <f>INDEX(Table5[KATEGORI PROGRAM],MATCH(Table1[[#This Row],[NAMA PROGRAM]],Table5[NAMA PROGRAM],0))</f>
        <v>Pangan</v>
      </c>
      <c r="F83" s="42" t="s">
        <v>410</v>
      </c>
      <c r="G83" s="76" t="s">
        <v>407</v>
      </c>
      <c r="H83" s="52" t="s">
        <v>47</v>
      </c>
      <c r="I83" s="52" t="str">
        <f>INDEX(Table2[Kecamatan],MATCH(Table1[[#This Row],[KELURAHAN / DESA]],Table2[Kelurahan],0))</f>
        <v>Ilir Barat I</v>
      </c>
      <c r="J83" s="52" t="str">
        <f>INDEX(Table2[Kabupaten/Kota],MATCH(Table1[[#This Row],[KECAMATAN]],Table2[Kecamatan],0))</f>
        <v>Palembang</v>
      </c>
      <c r="K83" s="75" t="str">
        <f>INDEX(Table2[Provinsi],MATCH(Table1[[#This Row],[KAB./KOTA]],Table2[Kabupaten/Kota],0))</f>
        <v>Sumatera Selatan</v>
      </c>
      <c r="L83" s="43">
        <v>100</v>
      </c>
      <c r="M83" s="52">
        <v>5</v>
      </c>
      <c r="N83" s="52" t="s">
        <v>408</v>
      </c>
      <c r="O83" s="67" t="s">
        <v>212</v>
      </c>
    </row>
    <row r="84" spans="2:15" ht="31" x14ac:dyDescent="0.35">
      <c r="B84" s="73">
        <f>IF(Table1[[#This Row],[TANGGAL]]="","",ROW(N80))</f>
        <v>80</v>
      </c>
      <c r="C84" s="74">
        <v>46069</v>
      </c>
      <c r="D84" s="75" t="s">
        <v>443</v>
      </c>
      <c r="E84" s="51" t="str">
        <f>INDEX(Table5[KATEGORI PROGRAM],MATCH(Table1[[#This Row],[NAMA PROGRAM]],Table5[NAMA PROGRAM],0))</f>
        <v>Event Sosial</v>
      </c>
      <c r="F84" s="42" t="s">
        <v>410</v>
      </c>
      <c r="G84" s="76" t="s">
        <v>407</v>
      </c>
      <c r="H84" s="52" t="s">
        <v>47</v>
      </c>
      <c r="I84" s="52" t="str">
        <f>INDEX(Table2[Kecamatan],MATCH(Table1[[#This Row],[KELURAHAN / DESA]],Table2[Kelurahan],0))</f>
        <v>Ilir Barat I</v>
      </c>
      <c r="J84" s="52" t="str">
        <f>INDEX(Table2[Kabupaten/Kota],MATCH(Table1[[#This Row],[KECAMATAN]],Table2[Kecamatan],0))</f>
        <v>Palembang</v>
      </c>
      <c r="K84" s="75" t="str">
        <f>INDEX(Table2[Provinsi],MATCH(Table1[[#This Row],[KAB./KOTA]],Table2[Kabupaten/Kota],0))</f>
        <v>Sumatera Selatan</v>
      </c>
      <c r="L84" s="43">
        <v>100</v>
      </c>
      <c r="M84" s="52">
        <v>7</v>
      </c>
      <c r="N84" s="52" t="s">
        <v>446</v>
      </c>
      <c r="O84" s="67" t="s">
        <v>220</v>
      </c>
    </row>
    <row r="85" spans="2:15" ht="29" x14ac:dyDescent="0.35">
      <c r="B85" s="73">
        <f>IF(Table1[[#This Row],[TANGGAL]]="","",ROW(N81))</f>
        <v>81</v>
      </c>
      <c r="C85" s="74">
        <v>46070</v>
      </c>
      <c r="D85" s="75" t="s">
        <v>444</v>
      </c>
      <c r="E85" s="51" t="str">
        <f>INDEX(Table5[KATEGORI PROGRAM],MATCH(Table1[[#This Row],[NAMA PROGRAM]],Table5[NAMA PROGRAM],0))</f>
        <v>Pangan</v>
      </c>
      <c r="F85" s="42" t="s">
        <v>352</v>
      </c>
      <c r="G85" s="76" t="s">
        <v>447</v>
      </c>
      <c r="H85" s="52" t="s">
        <v>82</v>
      </c>
      <c r="I85" s="52" t="str">
        <f>INDEX(Table2[Kecamatan],MATCH(Table1[[#This Row],[KELURAHAN / DESA]],Table2[Kelurahan],0))</f>
        <v>Jakabaring</v>
      </c>
      <c r="J85" s="52" t="str">
        <f>INDEX(Table2[Kabupaten/Kota],MATCH(Table1[[#This Row],[KECAMATAN]],Table2[Kecamatan],0))</f>
        <v>Palembang</v>
      </c>
      <c r="K85" s="75" t="str">
        <f>INDEX(Table2[Provinsi],MATCH(Table1[[#This Row],[KAB./KOTA]],Table2[Kabupaten/Kota],0))</f>
        <v>Sumatera Selatan</v>
      </c>
      <c r="L85" s="43">
        <v>600</v>
      </c>
      <c r="M85" s="52" t="s">
        <v>448</v>
      </c>
      <c r="N85" s="52" t="s">
        <v>420</v>
      </c>
      <c r="O85" s="67" t="s">
        <v>211</v>
      </c>
    </row>
    <row r="86" spans="2:15" ht="29" x14ac:dyDescent="0.35">
      <c r="B86" s="73">
        <f>IF(Table1[[#This Row],[TANGGAL]]="","",ROW(N82))</f>
        <v>82</v>
      </c>
      <c r="C86" s="74">
        <v>46070</v>
      </c>
      <c r="D86" s="75" t="s">
        <v>444</v>
      </c>
      <c r="E86" s="51" t="str">
        <f>INDEX(Table5[KATEGORI PROGRAM],MATCH(Table1[[#This Row],[NAMA PROGRAM]],Table5[NAMA PROGRAM],0))</f>
        <v>Pangan</v>
      </c>
      <c r="F86" s="42" t="s">
        <v>428</v>
      </c>
      <c r="G86" s="76" t="s">
        <v>429</v>
      </c>
      <c r="H86" s="52" t="s">
        <v>75</v>
      </c>
      <c r="I86" s="52" t="str">
        <f>INDEX(Table2[Kecamatan],MATCH(Table1[[#This Row],[KELURAHAN / DESA]],Table2[Kelurahan],0))</f>
        <v>Ilir Timur III</v>
      </c>
      <c r="J86" s="52" t="str">
        <f>INDEX(Table2[Kabupaten/Kota],MATCH(Table1[[#This Row],[KECAMATAN]],Table2[Kecamatan],0))</f>
        <v>Palembang</v>
      </c>
      <c r="K86" s="75" t="str">
        <f>INDEX(Table2[Provinsi],MATCH(Table1[[#This Row],[KAB./KOTA]],Table2[Kabupaten/Kota],0))</f>
        <v>Sumatera Selatan</v>
      </c>
      <c r="L86" s="43">
        <v>860</v>
      </c>
      <c r="M86" s="52" t="s">
        <v>445</v>
      </c>
      <c r="N86" s="52" t="s">
        <v>408</v>
      </c>
      <c r="O86" s="67" t="s">
        <v>241</v>
      </c>
    </row>
    <row r="87" spans="2:15" ht="31" x14ac:dyDescent="0.35">
      <c r="B87" s="73">
        <f>IF(Table1[[#This Row],[TANGGAL]]="","",ROW(N83))</f>
        <v>83</v>
      </c>
      <c r="C87" s="74">
        <v>46071</v>
      </c>
      <c r="D87" s="75" t="s">
        <v>444</v>
      </c>
      <c r="E87" s="51" t="str">
        <f>INDEX(Table5[KATEGORI PROGRAM],MATCH(Table1[[#This Row],[NAMA PROGRAM]],Table5[NAMA PROGRAM],0))</f>
        <v>Pangan</v>
      </c>
      <c r="F87" s="42" t="s">
        <v>449</v>
      </c>
      <c r="G87" s="76" t="s">
        <v>450</v>
      </c>
      <c r="H87" s="52" t="s">
        <v>451</v>
      </c>
      <c r="I87" s="52" t="str">
        <f>INDEX(Table2[Kecamatan],MATCH(Table1[[#This Row],[KELURAHAN / DESA]],Table2[Kelurahan],0))</f>
        <v>Indralaya</v>
      </c>
      <c r="J87" s="52" t="str">
        <f>INDEX(Table2[Kabupaten/Kota],MATCH(Table1[[#This Row],[KECAMATAN]],Table2[Kecamatan],0))</f>
        <v>Ogan Ilir</v>
      </c>
      <c r="K87" s="75" t="str">
        <f>INDEX(Table2[Provinsi],MATCH(Table1[[#This Row],[KAB./KOTA]],Table2[Kabupaten/Kota],0))</f>
        <v>Sumatera Selatan</v>
      </c>
      <c r="L87" s="43">
        <v>140</v>
      </c>
      <c r="M87" s="52" t="s">
        <v>452</v>
      </c>
      <c r="N87" s="52" t="s">
        <v>453</v>
      </c>
      <c r="O87" s="67" t="s">
        <v>211</v>
      </c>
    </row>
    <row r="88" spans="2:15" ht="29" x14ac:dyDescent="0.35">
      <c r="B88" s="73">
        <f>IF(Table1[[#This Row],[TANGGAL]]="","",ROW(N84))</f>
        <v>84</v>
      </c>
      <c r="C88" s="74">
        <v>46071</v>
      </c>
      <c r="D88" s="75" t="s">
        <v>454</v>
      </c>
      <c r="E88" s="51" t="str">
        <f>INDEX(Table5[KATEGORI PROGRAM],MATCH(Table1[[#This Row],[NAMA PROGRAM]],Table5[NAMA PROGRAM],0))</f>
        <v>Pangan</v>
      </c>
      <c r="F88" s="42" t="s">
        <v>457</v>
      </c>
      <c r="G88" s="76" t="s">
        <v>458</v>
      </c>
      <c r="H88" s="52" t="s">
        <v>39</v>
      </c>
      <c r="I88" s="52" t="str">
        <f>INDEX(Table2[Kecamatan],MATCH(Table1[[#This Row],[KELURAHAN / DESA]],Table2[Kelurahan],0))</f>
        <v>Bukit Kecil</v>
      </c>
      <c r="J88" s="52" t="str">
        <f>INDEX(Table2[Kabupaten/Kota],MATCH(Table1[[#This Row],[KECAMATAN]],Table2[Kecamatan],0))</f>
        <v>Palembang</v>
      </c>
      <c r="K88" s="75" t="str">
        <f>INDEX(Table2[Provinsi],MATCH(Table1[[#This Row],[KAB./KOTA]],Table2[Kabupaten/Kota],0))</f>
        <v>Sumatera Selatan</v>
      </c>
      <c r="L88" s="43">
        <v>50</v>
      </c>
      <c r="M88" s="52" t="s">
        <v>455</v>
      </c>
      <c r="N88" s="52" t="s">
        <v>456</v>
      </c>
      <c r="O88" s="67" t="s">
        <v>212</v>
      </c>
    </row>
    <row r="89" spans="2:15" ht="29" x14ac:dyDescent="0.35">
      <c r="B89" s="73">
        <f>IF(Table1[[#This Row],[TANGGAL]]="","",ROW(N85))</f>
        <v>85</v>
      </c>
      <c r="C89" s="74">
        <v>46071</v>
      </c>
      <c r="D89" s="75" t="s">
        <v>2</v>
      </c>
      <c r="E89" s="51" t="str">
        <f>INDEX(Table5[KATEGORI PROGRAM],MATCH(Table1[[#This Row],[NAMA PROGRAM]],Table5[NAMA PROGRAM],0))</f>
        <v>Pendidikan</v>
      </c>
      <c r="F89" s="42" t="s">
        <v>403</v>
      </c>
      <c r="G89" s="76" t="s">
        <v>404</v>
      </c>
      <c r="H89" s="52" t="s">
        <v>99</v>
      </c>
      <c r="I89" s="52" t="str">
        <f>INDEX(Table2[Kecamatan],MATCH(Table1[[#This Row],[KELURAHAN / DESA]],Table2[Kelurahan],0))</f>
        <v>Kertapati</v>
      </c>
      <c r="J89" s="52" t="str">
        <f>INDEX(Table2[Kabupaten/Kota],MATCH(Table1[[#This Row],[KECAMATAN]],Table2[Kecamatan],0))</f>
        <v>Palembang</v>
      </c>
      <c r="K89" s="75" t="str">
        <f>INDEX(Table2[Provinsi],MATCH(Table1[[#This Row],[KAB./KOTA]],Table2[Kabupaten/Kota],0))</f>
        <v>Sumatera Selatan</v>
      </c>
      <c r="L89" s="43">
        <v>87</v>
      </c>
      <c r="M89" s="52" t="s">
        <v>9</v>
      </c>
      <c r="N89" s="52" t="s">
        <v>405</v>
      </c>
      <c r="O89" s="67" t="s">
        <v>206</v>
      </c>
    </row>
    <row r="90" spans="2:15" ht="29" x14ac:dyDescent="0.35">
      <c r="B90" s="73">
        <f>IF(Table1[[#This Row],[TANGGAL]]="","",ROW(N86))</f>
        <v>86</v>
      </c>
      <c r="C90" s="74">
        <v>46071</v>
      </c>
      <c r="D90" s="75" t="s">
        <v>3</v>
      </c>
      <c r="E90" s="51" t="str">
        <f>INDEX(Table5[KATEGORI PROGRAM],MATCH(Table1[[#This Row],[NAMA PROGRAM]],Table5[NAMA PROGRAM],0))</f>
        <v>Pendidikan</v>
      </c>
      <c r="F90" s="42" t="s">
        <v>352</v>
      </c>
      <c r="G90" s="76" t="s">
        <v>3</v>
      </c>
      <c r="H90" s="52" t="s">
        <v>82</v>
      </c>
      <c r="I90" s="52" t="str">
        <f>INDEX(Table2[Kecamatan],MATCH(Table1[[#This Row],[KELURAHAN / DESA]],Table2[Kelurahan],0))</f>
        <v>Jakabaring</v>
      </c>
      <c r="J90" s="52" t="str">
        <f>INDEX(Table2[Kabupaten/Kota],MATCH(Table1[[#This Row],[KECAMATAN]],Table2[Kecamatan],0))</f>
        <v>Palembang</v>
      </c>
      <c r="K90" s="75" t="str">
        <f>INDEX(Table2[Provinsi],MATCH(Table1[[#This Row],[KAB./KOTA]],Table2[Kabupaten/Kota],0))</f>
        <v>Sumatera Selatan</v>
      </c>
      <c r="L90" s="43">
        <v>34</v>
      </c>
      <c r="M90" s="52" t="s">
        <v>9</v>
      </c>
      <c r="N90" s="52" t="s">
        <v>244</v>
      </c>
      <c r="O90" s="67" t="s">
        <v>206</v>
      </c>
    </row>
    <row r="91" spans="2:15" ht="29" x14ac:dyDescent="0.35">
      <c r="B91" s="73">
        <f>IF(Table1[[#This Row],[TANGGAL]]="","",ROW(N87))</f>
        <v>87</v>
      </c>
      <c r="C91" s="74">
        <v>46072</v>
      </c>
      <c r="D91" s="75" t="s">
        <v>459</v>
      </c>
      <c r="E91" s="51" t="str">
        <f>INDEX(Table5[KATEGORI PROGRAM],MATCH(Table1[[#This Row],[NAMA PROGRAM]],Table5[NAMA PROGRAM],0))</f>
        <v>Pangan</v>
      </c>
      <c r="F91" s="42" t="s">
        <v>460</v>
      </c>
      <c r="G91" s="76" t="s">
        <v>461</v>
      </c>
      <c r="H91" s="52" t="s">
        <v>61</v>
      </c>
      <c r="I91" s="52" t="str">
        <f>INDEX(Table2[Kecamatan],MATCH(Table1[[#This Row],[KELURAHAN / DESA]],Table2[Kelurahan],0))</f>
        <v>Ilir Timur I</v>
      </c>
      <c r="J91" s="52" t="str">
        <f>INDEX(Table2[Kabupaten/Kota],MATCH(Table1[[#This Row],[KECAMATAN]],Table2[Kecamatan],0))</f>
        <v>Palembang</v>
      </c>
      <c r="K91" s="75" t="str">
        <f>INDEX(Table2[Provinsi],MATCH(Table1[[#This Row],[KAB./KOTA]],Table2[Kabupaten/Kota],0))</f>
        <v>Sumatera Selatan</v>
      </c>
      <c r="L91" s="43">
        <v>112</v>
      </c>
      <c r="M91" s="52" t="s">
        <v>415</v>
      </c>
      <c r="N91" s="52" t="s">
        <v>408</v>
      </c>
      <c r="O91" s="67" t="s">
        <v>212</v>
      </c>
    </row>
    <row r="92" spans="2:15" ht="29" x14ac:dyDescent="0.35">
      <c r="B92" s="73">
        <f>IF(Table1[[#This Row],[TANGGAL]]="","",ROW(N88))</f>
        <v>88</v>
      </c>
      <c r="C92" s="74">
        <v>46072</v>
      </c>
      <c r="D92" s="75" t="s">
        <v>7</v>
      </c>
      <c r="E92" s="51" t="str">
        <f>INDEX(Table5[KATEGORI PROGRAM],MATCH(Table1[[#This Row],[NAMA PROGRAM]],Table5[NAMA PROGRAM],0))</f>
        <v>Pendidikan</v>
      </c>
      <c r="F92" s="42" t="s">
        <v>351</v>
      </c>
      <c r="G92" s="76" t="s">
        <v>237</v>
      </c>
      <c r="H92" s="52" t="s">
        <v>99</v>
      </c>
      <c r="I92" s="52" t="str">
        <f>INDEX(Table2[Kecamatan],MATCH(Table1[[#This Row],[KELURAHAN / DESA]],Table2[Kelurahan],0))</f>
        <v>Kertapati</v>
      </c>
      <c r="J92" s="52" t="str">
        <f>INDEX(Table2[Kabupaten/Kota],MATCH(Table1[[#This Row],[KECAMATAN]],Table2[Kecamatan],0))</f>
        <v>Palembang</v>
      </c>
      <c r="K92" s="75" t="str">
        <f>INDEX(Table2[Provinsi],MATCH(Table1[[#This Row],[KAB./KOTA]],Table2[Kabupaten/Kota],0))</f>
        <v>Sumatera Selatan</v>
      </c>
      <c r="L92" s="43">
        <v>26</v>
      </c>
      <c r="M92" s="52" t="s">
        <v>9</v>
      </c>
      <c r="N92" s="52" t="s">
        <v>238</v>
      </c>
      <c r="O92" s="67" t="s">
        <v>206</v>
      </c>
    </row>
    <row r="93" spans="2:15" ht="29" x14ac:dyDescent="0.35">
      <c r="B93" s="73">
        <f>IF(Table1[[#This Row],[TANGGAL]]="","",ROW(N89))</f>
        <v>89</v>
      </c>
      <c r="C93" s="74">
        <v>46072</v>
      </c>
      <c r="D93" s="75" t="s">
        <v>6</v>
      </c>
      <c r="E93" s="51" t="str">
        <f>INDEX(Table5[KATEGORI PROGRAM],MATCH(Table1[[#This Row],[NAMA PROGRAM]],Table5[NAMA PROGRAM],0))</f>
        <v>Pendidikan</v>
      </c>
      <c r="F93" s="42" t="s">
        <v>358</v>
      </c>
      <c r="G93" s="76" t="s">
        <v>242</v>
      </c>
      <c r="H93" s="52" t="s">
        <v>96</v>
      </c>
      <c r="I93" s="52" t="str">
        <f>INDEX(Table2[Kecamatan],MATCH(Table1[[#This Row],[KELURAHAN / DESA]],Table2[Kelurahan],0))</f>
        <v>Kertapati</v>
      </c>
      <c r="J93" s="52" t="str">
        <f>INDEX(Table2[Kabupaten/Kota],MATCH(Table1[[#This Row],[KECAMATAN]],Table2[Kecamatan],0))</f>
        <v>Palembang</v>
      </c>
      <c r="K93" s="75" t="str">
        <f>INDEX(Table2[Provinsi],MATCH(Table1[[#This Row],[KAB./KOTA]],Table2[Kabupaten/Kota],0))</f>
        <v>Sumatera Selatan</v>
      </c>
      <c r="L93" s="43">
        <v>60</v>
      </c>
      <c r="M93" s="52" t="s">
        <v>9</v>
      </c>
      <c r="N93" s="52" t="s">
        <v>243</v>
      </c>
      <c r="O93" s="67" t="s">
        <v>206</v>
      </c>
    </row>
    <row r="94" spans="2:15" ht="29" x14ac:dyDescent="0.35">
      <c r="B94" s="73">
        <f>IF(Table1[[#This Row],[TANGGAL]]="","",ROW(N90))</f>
        <v>90</v>
      </c>
      <c r="C94" s="74">
        <v>46073</v>
      </c>
      <c r="D94" s="75" t="s">
        <v>459</v>
      </c>
      <c r="E94" s="51" t="str">
        <f>INDEX(Table5[KATEGORI PROGRAM],MATCH(Table1[[#This Row],[NAMA PROGRAM]],Table5[NAMA PROGRAM],0))</f>
        <v>Pangan</v>
      </c>
      <c r="F94" s="42" t="s">
        <v>413</v>
      </c>
      <c r="G94" s="76" t="s">
        <v>414</v>
      </c>
      <c r="H94" s="52" t="s">
        <v>99</v>
      </c>
      <c r="I94" s="52" t="str">
        <f>INDEX(Table2[Kecamatan],MATCH(Table1[[#This Row],[KELURAHAN / DESA]],Table2[Kelurahan],0))</f>
        <v>Kertapati</v>
      </c>
      <c r="J94" s="52" t="str">
        <f>INDEX(Table2[Kabupaten/Kota],MATCH(Table1[[#This Row],[KECAMATAN]],Table2[Kecamatan],0))</f>
        <v>Palembang</v>
      </c>
      <c r="K94" s="75" t="str">
        <f>INDEX(Table2[Provinsi],MATCH(Table1[[#This Row],[KAB./KOTA]],Table2[Kabupaten/Kota],0))</f>
        <v>Sumatera Selatan</v>
      </c>
      <c r="L94" s="43">
        <v>110</v>
      </c>
      <c r="M94" s="52" t="s">
        <v>416</v>
      </c>
      <c r="N94" s="52" t="s">
        <v>408</v>
      </c>
      <c r="O94" s="67" t="s">
        <v>210</v>
      </c>
    </row>
    <row r="95" spans="2:15" ht="29" x14ac:dyDescent="0.35">
      <c r="B95" s="73">
        <f>IF(Table1[[#This Row],[TANGGAL]]="","",ROW(N91))</f>
        <v>91</v>
      </c>
      <c r="C95" s="74">
        <v>46073</v>
      </c>
      <c r="D95" s="75" t="s">
        <v>459</v>
      </c>
      <c r="E95" s="51" t="str">
        <f>INDEX(Table5[KATEGORI PROGRAM],MATCH(Table1[[#This Row],[NAMA PROGRAM]],Table5[NAMA PROGRAM],0))</f>
        <v>Pangan</v>
      </c>
      <c r="F95" s="42" t="s">
        <v>358</v>
      </c>
      <c r="G95" s="76" t="s">
        <v>242</v>
      </c>
      <c r="H95" s="52" t="s">
        <v>96</v>
      </c>
      <c r="I95" s="52" t="str">
        <f>INDEX(Table2[Kecamatan],MATCH(Table1[[#This Row],[KELURAHAN / DESA]],Table2[Kelurahan],0))</f>
        <v>Kertapati</v>
      </c>
      <c r="J95" s="52" t="str">
        <f>INDEX(Table2[Kabupaten/Kota],MATCH(Table1[[#This Row],[KECAMATAN]],Table2[Kecamatan],0))</f>
        <v>Palembang</v>
      </c>
      <c r="K95" s="75" t="str">
        <f>INDEX(Table2[Provinsi],MATCH(Table1[[#This Row],[KAB./KOTA]],Table2[Kabupaten/Kota],0))</f>
        <v>Sumatera Selatan</v>
      </c>
      <c r="L95" s="43">
        <v>100</v>
      </c>
      <c r="M95" s="52" t="s">
        <v>416</v>
      </c>
      <c r="N95" s="52" t="s">
        <v>243</v>
      </c>
      <c r="O95" s="67" t="s">
        <v>206</v>
      </c>
    </row>
    <row r="96" spans="2:15" ht="31" x14ac:dyDescent="0.35">
      <c r="B96" s="73">
        <f>IF(Table1[[#This Row],[TANGGAL]]="","",ROW(N92))</f>
        <v>92</v>
      </c>
      <c r="C96" s="74">
        <v>46073</v>
      </c>
      <c r="D96" s="75" t="s">
        <v>459</v>
      </c>
      <c r="E96" s="51" t="str">
        <f>INDEX(Table5[KATEGORI PROGRAM],MATCH(Table1[[#This Row],[NAMA PROGRAM]],Table5[NAMA PROGRAM],0))</f>
        <v>Pangan</v>
      </c>
      <c r="F96" s="42" t="s">
        <v>411</v>
      </c>
      <c r="G96" s="76" t="s">
        <v>412</v>
      </c>
      <c r="H96" s="52" t="s">
        <v>166</v>
      </c>
      <c r="I96" s="52" t="str">
        <f>INDEX(Table2[Kecamatan],MATCH(Table1[[#This Row],[KELURAHAN / DESA]],Table2[Kelurahan],0))</f>
        <v>Talang Kelapa</v>
      </c>
      <c r="J96" s="52" t="str">
        <f>INDEX(Table2[Kabupaten/Kota],MATCH(Table1[[#This Row],[KECAMATAN]],Table2[Kecamatan],0))</f>
        <v>Banyuasin</v>
      </c>
      <c r="K96" s="75" t="str">
        <f>INDEX(Table2[Provinsi],MATCH(Table1[[#This Row],[KAB./KOTA]],Table2[Kabupaten/Kota],0))</f>
        <v>Sumatera Selatan</v>
      </c>
      <c r="L96" s="43">
        <v>100</v>
      </c>
      <c r="M96" s="52" t="s">
        <v>415</v>
      </c>
      <c r="N96" s="52" t="s">
        <v>463</v>
      </c>
      <c r="O96" s="67" t="s">
        <v>208</v>
      </c>
    </row>
    <row r="97" spans="2:15" ht="29" x14ac:dyDescent="0.35">
      <c r="B97" s="73">
        <f>IF(Table1[[#This Row],[TANGGAL]]="","",ROW(N93))</f>
        <v>93</v>
      </c>
      <c r="C97" s="74">
        <v>46073</v>
      </c>
      <c r="D97" s="75" t="s">
        <v>459</v>
      </c>
      <c r="E97" s="51" t="str">
        <f>INDEX(Table5[KATEGORI PROGRAM],MATCH(Table1[[#This Row],[NAMA PROGRAM]],Table5[NAMA PROGRAM],0))</f>
        <v>Pangan</v>
      </c>
      <c r="F97" s="42" t="s">
        <v>351</v>
      </c>
      <c r="G97" s="76" t="s">
        <v>309</v>
      </c>
      <c r="H97" s="52" t="s">
        <v>99</v>
      </c>
      <c r="I97" s="52" t="str">
        <f>INDEX(Table2[Kecamatan],MATCH(Table1[[#This Row],[KELURAHAN / DESA]],Table2[Kelurahan],0))</f>
        <v>Kertapati</v>
      </c>
      <c r="J97" s="52" t="str">
        <f>INDEX(Table2[Kabupaten/Kota],MATCH(Table1[[#This Row],[KECAMATAN]],Table2[Kecamatan],0))</f>
        <v>Palembang</v>
      </c>
      <c r="K97" s="75" t="str">
        <f>INDEX(Table2[Provinsi],MATCH(Table1[[#This Row],[KAB./KOTA]],Table2[Kabupaten/Kota],0))</f>
        <v>Sumatera Selatan</v>
      </c>
      <c r="L97" s="43">
        <v>120</v>
      </c>
      <c r="M97" s="52" t="s">
        <v>415</v>
      </c>
      <c r="N97" s="52" t="s">
        <v>353</v>
      </c>
      <c r="O97" s="67" t="s">
        <v>209</v>
      </c>
    </row>
    <row r="98" spans="2:15" ht="31" x14ac:dyDescent="0.35">
      <c r="B98" s="73">
        <f>IF(Table1[[#This Row],[TANGGAL]]="","",ROW(N94))</f>
        <v>94</v>
      </c>
      <c r="C98" s="74">
        <v>46073</v>
      </c>
      <c r="D98" s="75" t="s">
        <v>454</v>
      </c>
      <c r="E98" s="51" t="str">
        <f>INDEX(Table5[KATEGORI PROGRAM],MATCH(Table1[[#This Row],[NAMA PROGRAM]],Table5[NAMA PROGRAM],0))</f>
        <v>Pangan</v>
      </c>
      <c r="F98" s="42" t="s">
        <v>457</v>
      </c>
      <c r="G98" s="76" t="s">
        <v>458</v>
      </c>
      <c r="H98" s="52" t="s">
        <v>48</v>
      </c>
      <c r="I98" s="52" t="str">
        <f>INDEX(Table2[Kecamatan],MATCH(Table1[[#This Row],[KELURAHAN / DESA]],Table2[Kelurahan],0))</f>
        <v>Ilir Barat I</v>
      </c>
      <c r="J98" s="52" t="str">
        <f>INDEX(Table2[Kabupaten/Kota],MATCH(Table1[[#This Row],[KECAMATAN]],Table2[Kecamatan],0))</f>
        <v>Palembang</v>
      </c>
      <c r="K98" s="75" t="str">
        <f>INDEX(Table2[Provinsi],MATCH(Table1[[#This Row],[KAB./KOTA]],Table2[Kabupaten/Kota],0))</f>
        <v>Sumatera Selatan</v>
      </c>
      <c r="L98" s="43">
        <v>50</v>
      </c>
      <c r="M98" s="52" t="s">
        <v>455</v>
      </c>
      <c r="N98" s="52" t="s">
        <v>456</v>
      </c>
      <c r="O98" s="67" t="s">
        <v>212</v>
      </c>
    </row>
    <row r="99" spans="2:15" ht="31" x14ac:dyDescent="0.35">
      <c r="B99" s="73">
        <f>IF(Table1[[#This Row],[TANGGAL]]="","",ROW(N95))</f>
        <v>95</v>
      </c>
      <c r="C99" s="74">
        <v>46073</v>
      </c>
      <c r="D99" s="75" t="s">
        <v>462</v>
      </c>
      <c r="E99" s="51" t="str">
        <f>INDEX(Table5[KATEGORI PROGRAM],MATCH(Table1[[#This Row],[NAMA PROGRAM]],Table5[NAMA PROGRAM],0))</f>
        <v>Pangan</v>
      </c>
      <c r="F99" s="42" t="s">
        <v>457</v>
      </c>
      <c r="G99" s="76" t="s">
        <v>458</v>
      </c>
      <c r="H99" s="52" t="s">
        <v>68</v>
      </c>
      <c r="I99" s="52" t="str">
        <f>INDEX(Table2[Kecamatan],MATCH(Table1[[#This Row],[KELURAHAN / DESA]],Table2[Kelurahan],0))</f>
        <v>Ilir Timur I</v>
      </c>
      <c r="J99" s="52" t="str">
        <f>INDEX(Table2[Kabupaten/Kota],MATCH(Table1[[#This Row],[KECAMATAN]],Table2[Kecamatan],0))</f>
        <v>Palembang</v>
      </c>
      <c r="K99" s="75" t="str">
        <f>INDEX(Table2[Provinsi],MATCH(Table1[[#This Row],[KAB./KOTA]],Table2[Kabupaten/Kota],0))</f>
        <v>Sumatera Selatan</v>
      </c>
      <c r="L99" s="43">
        <v>70</v>
      </c>
      <c r="M99" s="52">
        <v>4</v>
      </c>
      <c r="N99" s="52" t="s">
        <v>456</v>
      </c>
      <c r="O99" s="67" t="s">
        <v>212</v>
      </c>
    </row>
    <row r="100" spans="2:15" ht="31" x14ac:dyDescent="0.35">
      <c r="B100" s="73">
        <f>IF(Table1[[#This Row],[TANGGAL]]="","",ROW(N96))</f>
        <v>96</v>
      </c>
      <c r="C100" s="74">
        <v>46073</v>
      </c>
      <c r="D100" s="75" t="s">
        <v>464</v>
      </c>
      <c r="E100" s="51" t="str">
        <f>INDEX(Table5[KATEGORI PROGRAM],MATCH(Table1[[#This Row],[NAMA PROGRAM]],Table5[NAMA PROGRAM],0))</f>
        <v>Syiar &amp; Dakwah</v>
      </c>
      <c r="F100" s="42" t="s">
        <v>465</v>
      </c>
      <c r="G100" s="76" t="s">
        <v>466</v>
      </c>
      <c r="H100" s="52" t="s">
        <v>47</v>
      </c>
      <c r="I100" s="52" t="str">
        <f>INDEX(Table2[Kecamatan],MATCH(Table1[[#This Row],[KELURAHAN / DESA]],Table2[Kelurahan],0))</f>
        <v>Ilir Barat I</v>
      </c>
      <c r="J100" s="52" t="str">
        <f>INDEX(Table2[Kabupaten/Kota],MATCH(Table1[[#This Row],[KECAMATAN]],Table2[Kecamatan],0))</f>
        <v>Palembang</v>
      </c>
      <c r="K100" s="75" t="str">
        <f>INDEX(Table2[Provinsi],MATCH(Table1[[#This Row],[KAB./KOTA]],Table2[Kabupaten/Kota],0))</f>
        <v>Sumatera Selatan</v>
      </c>
      <c r="L100" s="43">
        <v>150</v>
      </c>
      <c r="M100" s="52" t="s">
        <v>467</v>
      </c>
      <c r="N100" s="52" t="s">
        <v>468</v>
      </c>
      <c r="O100" s="67" t="s">
        <v>216</v>
      </c>
    </row>
    <row r="101" spans="2:15" ht="31" x14ac:dyDescent="0.35">
      <c r="B101" s="73">
        <f>IF(Table1[[#This Row],[TANGGAL]]="","",ROW(N97))</f>
        <v>97</v>
      </c>
      <c r="C101" s="74">
        <v>46073</v>
      </c>
      <c r="D101" s="75" t="s">
        <v>464</v>
      </c>
      <c r="E101" s="51" t="str">
        <f>INDEX(Table5[KATEGORI PROGRAM],MATCH(Table1[[#This Row],[NAMA PROGRAM]],Table5[NAMA PROGRAM],0))</f>
        <v>Syiar &amp; Dakwah</v>
      </c>
      <c r="F101" s="42" t="s">
        <v>469</v>
      </c>
      <c r="G101" s="76" t="s">
        <v>470</v>
      </c>
      <c r="H101" s="52" t="s">
        <v>224</v>
      </c>
      <c r="I101" s="52" t="str">
        <f>INDEX(Table2[Kecamatan],MATCH(Table1[[#This Row],[KELURAHAN / DESA]],Table2[Kelurahan],0))</f>
        <v>Kemuning</v>
      </c>
      <c r="J101" s="52" t="str">
        <f>INDEX(Table2[Kabupaten/Kota],MATCH(Table1[[#This Row],[KECAMATAN]],Table2[Kecamatan],0))</f>
        <v>Palembang</v>
      </c>
      <c r="K101" s="75" t="str">
        <f>INDEX(Table2[Provinsi],MATCH(Table1[[#This Row],[KAB./KOTA]],Table2[Kabupaten/Kota],0))</f>
        <v>Sumatera Selatan</v>
      </c>
      <c r="L101" s="43">
        <v>150</v>
      </c>
      <c r="M101" s="52" t="s">
        <v>467</v>
      </c>
      <c r="N101" s="52" t="s">
        <v>468</v>
      </c>
      <c r="O101" s="67" t="s">
        <v>216</v>
      </c>
    </row>
    <row r="102" spans="2:15" ht="31" x14ac:dyDescent="0.35">
      <c r="B102" s="73">
        <f>IF(Table1[[#This Row],[TANGGAL]]="","",ROW(N98))</f>
        <v>98</v>
      </c>
      <c r="C102" s="74">
        <v>46073</v>
      </c>
      <c r="D102" s="75" t="s">
        <v>464</v>
      </c>
      <c r="E102" s="51" t="str">
        <f>INDEX(Table5[KATEGORI PROGRAM],MATCH(Table1[[#This Row],[NAMA PROGRAM]],Table5[NAMA PROGRAM],0))</f>
        <v>Syiar &amp; Dakwah</v>
      </c>
      <c r="F102" s="42" t="s">
        <v>471</v>
      </c>
      <c r="G102" s="76" t="s">
        <v>472</v>
      </c>
      <c r="H102" s="52" t="s">
        <v>46</v>
      </c>
      <c r="I102" s="52" t="str">
        <f>INDEX(Table2[Kecamatan],MATCH(Table1[[#This Row],[KELURAHAN / DESA]],Table2[Kelurahan],0))</f>
        <v>Ilir Barat I</v>
      </c>
      <c r="J102" s="52" t="str">
        <f>INDEX(Table2[Kabupaten/Kota],MATCH(Table1[[#This Row],[KECAMATAN]],Table2[Kecamatan],0))</f>
        <v>Palembang</v>
      </c>
      <c r="K102" s="75" t="str">
        <f>INDEX(Table2[Provinsi],MATCH(Table1[[#This Row],[KAB./KOTA]],Table2[Kabupaten/Kota],0))</f>
        <v>Sumatera Selatan</v>
      </c>
      <c r="L102" s="43">
        <v>150</v>
      </c>
      <c r="M102" s="52" t="s">
        <v>467</v>
      </c>
      <c r="N102" s="52" t="s">
        <v>468</v>
      </c>
      <c r="O102" s="67" t="s">
        <v>216</v>
      </c>
    </row>
    <row r="103" spans="2:15" ht="29" x14ac:dyDescent="0.35">
      <c r="B103" s="73">
        <f>IF(Table1[[#This Row],[TANGGAL]]="","",ROW(N99))</f>
        <v>99</v>
      </c>
      <c r="C103" s="74">
        <v>46074</v>
      </c>
      <c r="D103" s="75" t="s">
        <v>459</v>
      </c>
      <c r="E103" s="51" t="str">
        <f>INDEX(Table5[KATEGORI PROGRAM],MATCH(Table1[[#This Row],[NAMA PROGRAM]],Table5[NAMA PROGRAM],0))</f>
        <v>Pangan</v>
      </c>
      <c r="F103" s="42" t="s">
        <v>473</v>
      </c>
      <c r="G103" s="76" t="s">
        <v>474</v>
      </c>
      <c r="H103" s="52" t="s">
        <v>40</v>
      </c>
      <c r="I103" s="52" t="str">
        <f>INDEX(Table2[Kecamatan],MATCH(Table1[[#This Row],[KELURAHAN / DESA]],Table2[Kelurahan],0))</f>
        <v>Bukit Kecil</v>
      </c>
      <c r="J103" s="52" t="str">
        <f>INDEX(Table2[Kabupaten/Kota],MATCH(Table1[[#This Row],[KECAMATAN]],Table2[Kecamatan],0))</f>
        <v>Palembang</v>
      </c>
      <c r="K103" s="75" t="str">
        <f>INDEX(Table2[Provinsi],MATCH(Table1[[#This Row],[KAB./KOTA]],Table2[Kabupaten/Kota],0))</f>
        <v>Sumatera Selatan</v>
      </c>
      <c r="L103" s="43">
        <v>110</v>
      </c>
      <c r="M103" s="52" t="s">
        <v>415</v>
      </c>
      <c r="N103" s="52" t="s">
        <v>408</v>
      </c>
      <c r="O103" s="67" t="s">
        <v>212</v>
      </c>
    </row>
    <row r="104" spans="2:15" ht="31" x14ac:dyDescent="0.35">
      <c r="B104" s="73">
        <f>IF(Table1[[#This Row],[TANGGAL]]="","",ROW(N100))</f>
        <v>100</v>
      </c>
      <c r="C104" s="74">
        <v>46074</v>
      </c>
      <c r="D104" s="75" t="s">
        <v>454</v>
      </c>
      <c r="E104" s="51" t="str">
        <f>INDEX(Table5[KATEGORI PROGRAM],MATCH(Table1[[#This Row],[NAMA PROGRAM]],Table5[NAMA PROGRAM],0))</f>
        <v>Pangan</v>
      </c>
      <c r="F104" s="42" t="s">
        <v>457</v>
      </c>
      <c r="G104" s="76" t="s">
        <v>458</v>
      </c>
      <c r="H104" s="52" t="s">
        <v>48</v>
      </c>
      <c r="I104" s="52" t="str">
        <f>INDEX(Table2[Kecamatan],MATCH(Table1[[#This Row],[KELURAHAN / DESA]],Table2[Kelurahan],0))</f>
        <v>Ilir Barat I</v>
      </c>
      <c r="J104" s="52" t="str">
        <f>INDEX(Table2[Kabupaten/Kota],MATCH(Table1[[#This Row],[KECAMATAN]],Table2[Kecamatan],0))</f>
        <v>Palembang</v>
      </c>
      <c r="K104" s="75" t="str">
        <f>INDEX(Table2[Provinsi],MATCH(Table1[[#This Row],[KAB./KOTA]],Table2[Kabupaten/Kota],0))</f>
        <v>Sumatera Selatan</v>
      </c>
      <c r="L104" s="43">
        <v>60</v>
      </c>
      <c r="M104" s="52" t="s">
        <v>455</v>
      </c>
      <c r="N104" s="52" t="s">
        <v>456</v>
      </c>
      <c r="O104" s="67" t="s">
        <v>212</v>
      </c>
    </row>
    <row r="105" spans="2:15" ht="29" x14ac:dyDescent="0.35">
      <c r="B105" s="73">
        <f>IF(Table1[[#This Row],[TANGGAL]]="","",ROW(N101))</f>
        <v>101</v>
      </c>
      <c r="C105" s="74">
        <v>46074</v>
      </c>
      <c r="D105" s="75" t="s">
        <v>19</v>
      </c>
      <c r="E105" s="51" t="str">
        <f>INDEX(Table5[KATEGORI PROGRAM],MATCH(Table1[[#This Row],[NAMA PROGRAM]],Table5[NAMA PROGRAM],0))</f>
        <v>Syiar &amp; Dakwah</v>
      </c>
      <c r="F105" s="42" t="s">
        <v>477</v>
      </c>
      <c r="G105" s="76" t="s">
        <v>478</v>
      </c>
      <c r="H105" s="52" t="s">
        <v>479</v>
      </c>
      <c r="I105" s="52" t="str">
        <f>INDEX(Table2[Kecamatan],MATCH(Table1[[#This Row],[KELURAHAN / DESA]],Table2[Kelurahan],0))</f>
        <v>Indralaya</v>
      </c>
      <c r="J105" s="52" t="str">
        <f>INDEX(Table2[Kabupaten/Kota],MATCH(Table1[[#This Row],[KECAMATAN]],Table2[Kecamatan],0))</f>
        <v>Ogan Ilir</v>
      </c>
      <c r="K105" s="75" t="str">
        <f>INDEX(Table2[Provinsi],MATCH(Table1[[#This Row],[KAB./KOTA]],Table2[Kabupaten/Kota],0))</f>
        <v>Sumatera Selatan</v>
      </c>
      <c r="L105" s="43">
        <v>35</v>
      </c>
      <c r="M105" s="52" t="s">
        <v>480</v>
      </c>
      <c r="N105" s="52" t="s">
        <v>420</v>
      </c>
      <c r="O105" s="67" t="s">
        <v>210</v>
      </c>
    </row>
    <row r="106" spans="2:15" ht="31" x14ac:dyDescent="0.35">
      <c r="B106" s="73">
        <f>IF(Table1[[#This Row],[TANGGAL]]="","",ROW(N102))</f>
        <v>102</v>
      </c>
      <c r="C106" s="74">
        <v>46074</v>
      </c>
      <c r="D106" s="75" t="s">
        <v>245</v>
      </c>
      <c r="E106" s="51" t="str">
        <f>INDEX(Table5[KATEGORI PROGRAM],MATCH(Table1[[#This Row],[NAMA PROGRAM]],Table5[NAMA PROGRAM],0))</f>
        <v>Lingkungan</v>
      </c>
      <c r="F106" s="42" t="s">
        <v>475</v>
      </c>
      <c r="G106" s="76" t="s">
        <v>476</v>
      </c>
      <c r="H106" s="52" t="s">
        <v>99</v>
      </c>
      <c r="I106" s="52" t="str">
        <f>INDEX(Table2[Kecamatan],MATCH(Table1[[#This Row],[KELURAHAN / DESA]],Table2[Kelurahan],0))</f>
        <v>Kertapati</v>
      </c>
      <c r="J106" s="52" t="str">
        <f>INDEX(Table2[Kabupaten/Kota],MATCH(Table1[[#This Row],[KECAMATAN]],Table2[Kecamatan],0))</f>
        <v>Palembang</v>
      </c>
      <c r="K106" s="75" t="str">
        <f>INDEX(Table2[Provinsi],MATCH(Table1[[#This Row],[KAB./KOTA]],Table2[Kabupaten/Kota],0))</f>
        <v>Sumatera Selatan</v>
      </c>
      <c r="L106" s="43">
        <v>1000</v>
      </c>
      <c r="M106" s="52" t="s">
        <v>426</v>
      </c>
      <c r="N106" s="52" t="s">
        <v>456</v>
      </c>
      <c r="O106" s="67" t="s">
        <v>220</v>
      </c>
    </row>
    <row r="107" spans="2:15" ht="29" x14ac:dyDescent="0.35">
      <c r="B107" s="73">
        <f>IF(Table1[[#This Row],[TANGGAL]]="","",ROW(N103))</f>
        <v>103</v>
      </c>
      <c r="C107" s="74">
        <v>46075</v>
      </c>
      <c r="D107" s="75" t="s">
        <v>459</v>
      </c>
      <c r="E107" s="51" t="str">
        <f>INDEX(Table5[KATEGORI PROGRAM],MATCH(Table1[[#This Row],[NAMA PROGRAM]],Table5[NAMA PROGRAM],0))</f>
        <v>Pangan</v>
      </c>
      <c r="F107" s="42" t="s">
        <v>506</v>
      </c>
      <c r="G107" s="76" t="s">
        <v>505</v>
      </c>
      <c r="H107" s="52" t="s">
        <v>49</v>
      </c>
      <c r="I107" s="52" t="str">
        <f>INDEX(Table2[Kecamatan],MATCH(Table1[[#This Row],[KELURAHAN / DESA]],Table2[Kelurahan],0))</f>
        <v>Ilir Barat I</v>
      </c>
      <c r="J107" s="52" t="str">
        <f>INDEX(Table2[Kabupaten/Kota],MATCH(Table1[[#This Row],[KECAMATAN]],Table2[Kecamatan],0))</f>
        <v>Palembang</v>
      </c>
      <c r="K107" s="75" t="str">
        <f>INDEX(Table2[Provinsi],MATCH(Table1[[#This Row],[KAB./KOTA]],Table2[Kabupaten/Kota],0))</f>
        <v>Sumatera Selatan</v>
      </c>
      <c r="L107" s="43">
        <v>110</v>
      </c>
      <c r="M107" s="52" t="s">
        <v>415</v>
      </c>
      <c r="N107" s="52" t="s">
        <v>408</v>
      </c>
      <c r="O107" s="67" t="s">
        <v>212</v>
      </c>
    </row>
    <row r="108" spans="2:15" ht="31" x14ac:dyDescent="0.35">
      <c r="B108" s="73">
        <f>IF(Table1[[#This Row],[TANGGAL]]="","",ROW(N104))</f>
        <v>104</v>
      </c>
      <c r="C108" s="74">
        <v>46075</v>
      </c>
      <c r="D108" s="75" t="s">
        <v>245</v>
      </c>
      <c r="E108" s="51" t="str">
        <f>INDEX(Table5[KATEGORI PROGRAM],MATCH(Table1[[#This Row],[NAMA PROGRAM]],Table5[NAMA PROGRAM],0))</f>
        <v>Lingkungan</v>
      </c>
      <c r="F108" s="42" t="s">
        <v>351</v>
      </c>
      <c r="G108" s="76" t="s">
        <v>425</v>
      </c>
      <c r="H108" s="52" t="s">
        <v>99</v>
      </c>
      <c r="I108" s="52" t="str">
        <f>INDEX(Table2[Kecamatan],MATCH(Table1[[#This Row],[KELURAHAN / DESA]],Table2[Kelurahan],0))</f>
        <v>Kertapati</v>
      </c>
      <c r="J108" s="52" t="str">
        <f>INDEX(Table2[Kabupaten/Kota],MATCH(Table1[[#This Row],[KECAMATAN]],Table2[Kecamatan],0))</f>
        <v>Palembang</v>
      </c>
      <c r="K108" s="75" t="str">
        <f>INDEX(Table2[Provinsi],MATCH(Table1[[#This Row],[KAB./KOTA]],Table2[Kabupaten/Kota],0))</f>
        <v>Sumatera Selatan</v>
      </c>
      <c r="L108" s="43">
        <v>1000</v>
      </c>
      <c r="M108" s="52" t="s">
        <v>426</v>
      </c>
      <c r="N108" s="52" t="s">
        <v>456</v>
      </c>
      <c r="O108" s="67" t="s">
        <v>220</v>
      </c>
    </row>
    <row r="109" spans="2:15" ht="31" x14ac:dyDescent="0.35">
      <c r="B109" s="73">
        <f>IF(Table1[[#This Row],[TANGGAL]]="","",ROW(N105))</f>
        <v>105</v>
      </c>
      <c r="C109" s="74">
        <v>46076</v>
      </c>
      <c r="D109" s="75" t="s">
        <v>153</v>
      </c>
      <c r="E109" s="51" t="str">
        <f>INDEX(Table5[KATEGORI PROGRAM],MATCH(Table1[[#This Row],[NAMA PROGRAM]],Table5[NAMA PROGRAM],0))</f>
        <v>Pangan</v>
      </c>
      <c r="F109" s="42" t="s">
        <v>522</v>
      </c>
      <c r="G109" s="76" t="s">
        <v>518</v>
      </c>
      <c r="H109" s="52" t="s">
        <v>104</v>
      </c>
      <c r="I109" s="52" t="str">
        <f>INDEX(Table2[Kecamatan],MATCH(Table1[[#This Row],[KELURAHAN / DESA]],Table2[Kelurahan],0))</f>
        <v>Plaju</v>
      </c>
      <c r="J109" s="52" t="str">
        <f>INDEX(Table2[Kabupaten/Kota],MATCH(Table1[[#This Row],[KECAMATAN]],Table2[Kecamatan],0))</f>
        <v>Palembang</v>
      </c>
      <c r="K109" s="75" t="str">
        <f>INDEX(Table2[Provinsi],MATCH(Table1[[#This Row],[KAB./KOTA]],Table2[Kabupaten/Kota],0))</f>
        <v>Sumatera Selatan</v>
      </c>
      <c r="L109" s="43">
        <v>200</v>
      </c>
      <c r="M109" s="52" t="s">
        <v>523</v>
      </c>
      <c r="N109" s="52" t="s">
        <v>408</v>
      </c>
      <c r="O109" s="67" t="s">
        <v>208</v>
      </c>
    </row>
    <row r="110" spans="2:15" ht="31" x14ac:dyDescent="0.35">
      <c r="B110" s="73">
        <f>IF(Table1[[#This Row],[TANGGAL]]="","",ROW(N106))</f>
        <v>106</v>
      </c>
      <c r="C110" s="74">
        <v>46076</v>
      </c>
      <c r="D110" s="75" t="s">
        <v>153</v>
      </c>
      <c r="E110" s="51" t="str">
        <f>INDEX(Table5[KATEGORI PROGRAM],MATCH(Table1[[#This Row],[NAMA PROGRAM]],Table5[NAMA PROGRAM],0))</f>
        <v>Pangan</v>
      </c>
      <c r="F110" s="42" t="s">
        <v>524</v>
      </c>
      <c r="G110" s="76" t="s">
        <v>519</v>
      </c>
      <c r="H110" s="52" t="s">
        <v>104</v>
      </c>
      <c r="I110" s="52" t="str">
        <f>INDEX(Table2[Kecamatan],MATCH(Table1[[#This Row],[KELURAHAN / DESA]],Table2[Kelurahan],0))</f>
        <v>Plaju</v>
      </c>
      <c r="J110" s="52" t="str">
        <f>INDEX(Table2[Kabupaten/Kota],MATCH(Table1[[#This Row],[KECAMATAN]],Table2[Kecamatan],0))</f>
        <v>Palembang</v>
      </c>
      <c r="K110" s="75" t="str">
        <f>INDEX(Table2[Provinsi],MATCH(Table1[[#This Row],[KAB./KOTA]],Table2[Kabupaten/Kota],0))</f>
        <v>Sumatera Selatan</v>
      </c>
      <c r="L110" s="43">
        <v>240</v>
      </c>
      <c r="M110" s="52" t="s">
        <v>525</v>
      </c>
      <c r="N110" s="52" t="s">
        <v>408</v>
      </c>
      <c r="O110" s="67" t="s">
        <v>208</v>
      </c>
    </row>
    <row r="111" spans="2:15" ht="31" x14ac:dyDescent="0.35">
      <c r="B111" s="73">
        <f>IF(Table1[[#This Row],[TANGGAL]]="","",ROW(N107))</f>
        <v>107</v>
      </c>
      <c r="C111" s="74">
        <v>46076</v>
      </c>
      <c r="D111" s="75" t="s">
        <v>153</v>
      </c>
      <c r="E111" s="51" t="str">
        <f>INDEX(Table5[KATEGORI PROGRAM],MATCH(Table1[[#This Row],[NAMA PROGRAM]],Table5[NAMA PROGRAM],0))</f>
        <v>Pangan</v>
      </c>
      <c r="F111" s="42" t="s">
        <v>526</v>
      </c>
      <c r="G111" s="76" t="s">
        <v>520</v>
      </c>
      <c r="H111" s="52" t="s">
        <v>84</v>
      </c>
      <c r="I111" s="52" t="str">
        <f>INDEX(Table2[Kecamatan],MATCH(Table1[[#This Row],[KELURAHAN / DESA]],Table2[Kelurahan],0))</f>
        <v>Jakabaring</v>
      </c>
      <c r="J111" s="52" t="str">
        <f>INDEX(Table2[Kabupaten/Kota],MATCH(Table1[[#This Row],[KECAMATAN]],Table2[Kecamatan],0))</f>
        <v>Palembang</v>
      </c>
      <c r="K111" s="75" t="str">
        <f>INDEX(Table2[Provinsi],MATCH(Table1[[#This Row],[KAB./KOTA]],Table2[Kabupaten/Kota],0))</f>
        <v>Sumatera Selatan</v>
      </c>
      <c r="L111" s="43">
        <v>240</v>
      </c>
      <c r="M111" s="52" t="s">
        <v>525</v>
      </c>
      <c r="N111" s="52" t="s">
        <v>408</v>
      </c>
      <c r="O111" s="67" t="s">
        <v>208</v>
      </c>
    </row>
    <row r="112" spans="2:15" ht="31" x14ac:dyDescent="0.35">
      <c r="B112" s="73">
        <f>IF(Table1[[#This Row],[TANGGAL]]="","",ROW(N108))</f>
        <v>108</v>
      </c>
      <c r="C112" s="74">
        <v>46076</v>
      </c>
      <c r="D112" s="75" t="s">
        <v>153</v>
      </c>
      <c r="E112" s="51" t="str">
        <f>INDEX(Table5[KATEGORI PROGRAM],MATCH(Table1[[#This Row],[NAMA PROGRAM]],Table5[NAMA PROGRAM],0))</f>
        <v>Pangan</v>
      </c>
      <c r="F112" s="42" t="s">
        <v>527</v>
      </c>
      <c r="G112" s="76" t="s">
        <v>521</v>
      </c>
      <c r="H112" s="52" t="s">
        <v>122</v>
      </c>
      <c r="I112" s="52" t="str">
        <f>INDEX(Table2[Kecamatan],MATCH(Table1[[#This Row],[KELURAHAN / DESA]],Table2[Kelurahan],0))</f>
        <v>Seberang Ulu II</v>
      </c>
      <c r="J112" s="52" t="str">
        <f>INDEX(Table2[Kabupaten/Kota],MATCH(Table1[[#This Row],[KECAMATAN]],Table2[Kecamatan],0))</f>
        <v>Palembang</v>
      </c>
      <c r="K112" s="75" t="str">
        <f>INDEX(Table2[Provinsi],MATCH(Table1[[#This Row],[KAB./KOTA]],Table2[Kabupaten/Kota],0))</f>
        <v>Sumatera Selatan</v>
      </c>
      <c r="L112" s="43">
        <v>280</v>
      </c>
      <c r="M112" s="52" t="s">
        <v>528</v>
      </c>
      <c r="N112" s="52" t="s">
        <v>408</v>
      </c>
      <c r="O112" s="67" t="s">
        <v>208</v>
      </c>
    </row>
    <row r="113" spans="2:15" ht="29" x14ac:dyDescent="0.35">
      <c r="B113" s="73">
        <f>IF(Table1[[#This Row],[TANGGAL]]="","",ROW(N109))</f>
        <v>109</v>
      </c>
      <c r="C113" s="74">
        <v>46076</v>
      </c>
      <c r="D113" s="75" t="s">
        <v>454</v>
      </c>
      <c r="E113" s="51" t="str">
        <f>INDEX(Table5[KATEGORI PROGRAM],MATCH(Table1[[#This Row],[NAMA PROGRAM]],Table5[NAMA PROGRAM],0))</f>
        <v>Pangan</v>
      </c>
      <c r="F113" s="42" t="s">
        <v>457</v>
      </c>
      <c r="G113" s="76" t="s">
        <v>458</v>
      </c>
      <c r="H113" s="52" t="s">
        <v>39</v>
      </c>
      <c r="I113" s="52" t="str">
        <f>INDEX(Table2[Kecamatan],MATCH(Table1[[#This Row],[KELURAHAN / DESA]],Table2[Kelurahan],0))</f>
        <v>Bukit Kecil</v>
      </c>
      <c r="J113" s="52" t="str">
        <f>INDEX(Table2[Kabupaten/Kota],MATCH(Table1[[#This Row],[KECAMATAN]],Table2[Kecamatan],0))</f>
        <v>Palembang</v>
      </c>
      <c r="K113" s="75" t="str">
        <f>INDEX(Table2[Provinsi],MATCH(Table1[[#This Row],[KAB./KOTA]],Table2[Kabupaten/Kota],0))</f>
        <v>Sumatera Selatan</v>
      </c>
      <c r="L113" s="43">
        <v>50</v>
      </c>
      <c r="M113" s="52" t="s">
        <v>455</v>
      </c>
      <c r="N113" s="52" t="s">
        <v>456</v>
      </c>
      <c r="O113" s="67" t="s">
        <v>212</v>
      </c>
    </row>
    <row r="114" spans="2:15" ht="29" x14ac:dyDescent="0.35">
      <c r="B114" s="73">
        <f>IF(Table1[[#This Row],[TANGGAL]]="","",ROW(N110))</f>
        <v>110</v>
      </c>
      <c r="C114" s="74">
        <v>46077</v>
      </c>
      <c r="D114" s="75" t="s">
        <v>459</v>
      </c>
      <c r="E114" s="51" t="str">
        <f>INDEX(Table5[KATEGORI PROGRAM],MATCH(Table1[[#This Row],[NAMA PROGRAM]],Table5[NAMA PROGRAM],0))</f>
        <v>Pangan</v>
      </c>
      <c r="F114" s="42" t="s">
        <v>529</v>
      </c>
      <c r="G114" s="76" t="s">
        <v>530</v>
      </c>
      <c r="H114" s="52" t="s">
        <v>531</v>
      </c>
      <c r="I114" s="52" t="str">
        <f>INDEX(Table2[Kecamatan],MATCH(Table1[[#This Row],[KELURAHAN / DESA]],Table2[Kelurahan],0))</f>
        <v>Indralaya</v>
      </c>
      <c r="J114" s="52" t="str">
        <f>INDEX(Table2[Kabupaten/Kota],MATCH(Table1[[#This Row],[KECAMATAN]],Table2[Kecamatan],0))</f>
        <v>Ogan Ilir</v>
      </c>
      <c r="K114" s="75" t="str">
        <f>INDEX(Table2[Provinsi],MATCH(Table1[[#This Row],[KAB./KOTA]],Table2[Kabupaten/Kota],0))</f>
        <v>Sumatera Selatan</v>
      </c>
      <c r="L114" s="43">
        <v>50</v>
      </c>
      <c r="M114" s="52" t="s">
        <v>416</v>
      </c>
      <c r="N114" s="52" t="s">
        <v>408</v>
      </c>
      <c r="O114" s="67" t="s">
        <v>209</v>
      </c>
    </row>
    <row r="115" spans="2:15" ht="31" x14ac:dyDescent="0.35">
      <c r="B115" s="73">
        <f>IF(Table1[[#This Row],[TANGGAL]]="","",ROW(N111))</f>
        <v>111</v>
      </c>
      <c r="C115" s="74">
        <v>46077</v>
      </c>
      <c r="D115" s="75" t="s">
        <v>462</v>
      </c>
      <c r="E115" s="51" t="str">
        <f>INDEX(Table5[KATEGORI PROGRAM],MATCH(Table1[[#This Row],[NAMA PROGRAM]],Table5[NAMA PROGRAM],0))</f>
        <v>Pangan</v>
      </c>
      <c r="F115" s="42" t="s">
        <v>457</v>
      </c>
      <c r="G115" s="76" t="s">
        <v>458</v>
      </c>
      <c r="H115" s="52" t="s">
        <v>68</v>
      </c>
      <c r="I115" s="52" t="str">
        <f>INDEX(Table2[Kecamatan],MATCH(Table1[[#This Row],[KELURAHAN / DESA]],Table2[Kelurahan],0))</f>
        <v>Ilir Timur I</v>
      </c>
      <c r="J115" s="52" t="str">
        <f>INDEX(Table2[Kabupaten/Kota],MATCH(Table1[[#This Row],[KECAMATAN]],Table2[Kecamatan],0))</f>
        <v>Palembang</v>
      </c>
      <c r="K115" s="75" t="str">
        <f>INDEX(Table2[Provinsi],MATCH(Table1[[#This Row],[KAB./KOTA]],Table2[Kabupaten/Kota],0))</f>
        <v>Sumatera Selatan</v>
      </c>
      <c r="L115" s="43">
        <v>70</v>
      </c>
      <c r="M115" s="52">
        <v>5</v>
      </c>
      <c r="N115" s="52" t="s">
        <v>456</v>
      </c>
      <c r="O115" s="67" t="s">
        <v>212</v>
      </c>
    </row>
    <row r="116" spans="2:15" ht="29" x14ac:dyDescent="0.35">
      <c r="B116" s="73">
        <f>IF(Table1[[#This Row],[TANGGAL]]="","",ROW(N112))</f>
        <v>112</v>
      </c>
      <c r="C116" s="74">
        <v>46077</v>
      </c>
      <c r="D116" s="75" t="s">
        <v>19</v>
      </c>
      <c r="E116" s="51" t="str">
        <f>INDEX(Table5[KATEGORI PROGRAM],MATCH(Table1[[#This Row],[NAMA PROGRAM]],Table5[NAMA PROGRAM],0))</f>
        <v>Syiar &amp; Dakwah</v>
      </c>
      <c r="F116" s="42" t="s">
        <v>529</v>
      </c>
      <c r="G116" s="76" t="s">
        <v>530</v>
      </c>
      <c r="H116" s="52" t="s">
        <v>531</v>
      </c>
      <c r="I116" s="52" t="str">
        <f>INDEX(Table2[Kecamatan],MATCH(Table1[[#This Row],[KELURAHAN / DESA]],Table2[Kelurahan],0))</f>
        <v>Indralaya</v>
      </c>
      <c r="J116" s="52" t="str">
        <f>INDEX(Table2[Kabupaten/Kota],MATCH(Table1[[#This Row],[KECAMATAN]],Table2[Kecamatan],0))</f>
        <v>Ogan Ilir</v>
      </c>
      <c r="K116" s="75" t="str">
        <f>INDEX(Table2[Provinsi],MATCH(Table1[[#This Row],[KAB./KOTA]],Table2[Kabupaten/Kota],0))</f>
        <v>Sumatera Selatan</v>
      </c>
      <c r="L116" s="43">
        <v>30</v>
      </c>
      <c r="M116" s="52" t="s">
        <v>480</v>
      </c>
      <c r="N116" s="52" t="s">
        <v>408</v>
      </c>
      <c r="O116" s="67" t="s">
        <v>209</v>
      </c>
    </row>
    <row r="117" spans="2:15" ht="29" x14ac:dyDescent="0.35">
      <c r="B117" s="73">
        <f>IF(Table1[[#This Row],[TANGGAL]]="","",ROW(N113))</f>
        <v>113</v>
      </c>
      <c r="C117" s="74">
        <v>46078</v>
      </c>
      <c r="D117" s="75" t="s">
        <v>459</v>
      </c>
      <c r="E117" s="51" t="str">
        <f>INDEX(Table5[KATEGORI PROGRAM],MATCH(Table1[[#This Row],[NAMA PROGRAM]],Table5[NAMA PROGRAM],0))</f>
        <v>Pangan</v>
      </c>
      <c r="F117" s="42" t="s">
        <v>535</v>
      </c>
      <c r="G117" s="76" t="s">
        <v>536</v>
      </c>
      <c r="H117" s="52" t="s">
        <v>224</v>
      </c>
      <c r="I117" s="52" t="str">
        <f>INDEX(Table2[Kecamatan],MATCH(Table1[[#This Row],[KELURAHAN / DESA]],Table2[Kelurahan],0))</f>
        <v>Kemuning</v>
      </c>
      <c r="J117" s="52" t="str">
        <f>INDEX(Table2[Kabupaten/Kota],MATCH(Table1[[#This Row],[KECAMATAN]],Table2[Kecamatan],0))</f>
        <v>Palembang</v>
      </c>
      <c r="K117" s="75" t="str">
        <f>INDEX(Table2[Provinsi],MATCH(Table1[[#This Row],[KAB./KOTA]],Table2[Kabupaten/Kota],0))</f>
        <v>Sumatera Selatan</v>
      </c>
      <c r="L117" s="43">
        <v>100</v>
      </c>
      <c r="M117" s="52" t="s">
        <v>415</v>
      </c>
      <c r="N117" s="52" t="s">
        <v>408</v>
      </c>
      <c r="O117" s="67" t="s">
        <v>212</v>
      </c>
    </row>
    <row r="118" spans="2:15" ht="29" x14ac:dyDescent="0.35">
      <c r="B118" s="73">
        <f>IF(Table1[[#This Row],[TANGGAL]]="","",ROW(N114))</f>
        <v>114</v>
      </c>
      <c r="C118" s="74">
        <v>46078</v>
      </c>
      <c r="D118" s="75" t="s">
        <v>2</v>
      </c>
      <c r="E118" s="51" t="str">
        <f>INDEX(Table5[KATEGORI PROGRAM],MATCH(Table1[[#This Row],[NAMA PROGRAM]],Table5[NAMA PROGRAM],0))</f>
        <v>Pendidikan</v>
      </c>
      <c r="F118" s="42" t="s">
        <v>403</v>
      </c>
      <c r="G118" s="76" t="s">
        <v>404</v>
      </c>
      <c r="H118" s="52" t="s">
        <v>99</v>
      </c>
      <c r="I118" s="52" t="str">
        <f>INDEX(Table2[Kecamatan],MATCH(Table1[[#This Row],[KELURAHAN / DESA]],Table2[Kelurahan],0))</f>
        <v>Kertapati</v>
      </c>
      <c r="J118" s="52" t="str">
        <f>INDEX(Table2[Kabupaten/Kota],MATCH(Table1[[#This Row],[KECAMATAN]],Table2[Kecamatan],0))</f>
        <v>Palembang</v>
      </c>
      <c r="K118" s="75" t="str">
        <f>INDEX(Table2[Provinsi],MATCH(Table1[[#This Row],[KAB./KOTA]],Table2[Kabupaten/Kota],0))</f>
        <v>Sumatera Selatan</v>
      </c>
      <c r="L118" s="43">
        <v>79</v>
      </c>
      <c r="M118" s="52" t="s">
        <v>9</v>
      </c>
      <c r="N118" s="52" t="s">
        <v>405</v>
      </c>
      <c r="O118" s="67" t="s">
        <v>206</v>
      </c>
    </row>
    <row r="119" spans="2:15" ht="29" x14ac:dyDescent="0.35">
      <c r="B119" s="73">
        <f>IF(Table1[[#This Row],[TANGGAL]]="","",ROW(N115))</f>
        <v>115</v>
      </c>
      <c r="C119" s="74">
        <v>46078</v>
      </c>
      <c r="D119" s="75" t="s">
        <v>3</v>
      </c>
      <c r="E119" s="51" t="str">
        <f>INDEX(Table5[KATEGORI PROGRAM],MATCH(Table1[[#This Row],[NAMA PROGRAM]],Table5[NAMA PROGRAM],0))</f>
        <v>Pendidikan</v>
      </c>
      <c r="F119" s="42" t="s">
        <v>352</v>
      </c>
      <c r="G119" s="76" t="s">
        <v>3</v>
      </c>
      <c r="H119" s="52" t="s">
        <v>82</v>
      </c>
      <c r="I119" s="52" t="str">
        <f>INDEX(Table2[Kecamatan],MATCH(Table1[[#This Row],[KELURAHAN / DESA]],Table2[Kelurahan],0))</f>
        <v>Jakabaring</v>
      </c>
      <c r="J119" s="52" t="str">
        <f>INDEX(Table2[Kabupaten/Kota],MATCH(Table1[[#This Row],[KECAMATAN]],Table2[Kecamatan],0))</f>
        <v>Palembang</v>
      </c>
      <c r="K119" s="75" t="str">
        <f>INDEX(Table2[Provinsi],MATCH(Table1[[#This Row],[KAB./KOTA]],Table2[Kabupaten/Kota],0))</f>
        <v>Sumatera Selatan</v>
      </c>
      <c r="L119" s="43">
        <v>25</v>
      </c>
      <c r="M119" s="52" t="s">
        <v>9</v>
      </c>
      <c r="N119" s="52" t="s">
        <v>244</v>
      </c>
      <c r="O119" s="67" t="s">
        <v>206</v>
      </c>
    </row>
    <row r="120" spans="2:15" ht="31" x14ac:dyDescent="0.35">
      <c r="B120" s="73">
        <f>IF(Table1[[#This Row],[TANGGAL]]="","",ROW(N116))</f>
        <v>116</v>
      </c>
      <c r="C120" s="74">
        <v>46078</v>
      </c>
      <c r="D120" s="75" t="s">
        <v>532</v>
      </c>
      <c r="E120" s="51" t="str">
        <f>INDEX(Table5[KATEGORI PROGRAM],MATCH(Table1[[#This Row],[NAMA PROGRAM]],Table5[NAMA PROGRAM],0))</f>
        <v>Event Sosial</v>
      </c>
      <c r="F120" s="42" t="s">
        <v>537</v>
      </c>
      <c r="G120" s="76" t="s">
        <v>558</v>
      </c>
      <c r="H120" s="52" t="s">
        <v>111</v>
      </c>
      <c r="I120" s="52" t="str">
        <f>INDEX(Table2[Kecamatan],MATCH(Table1[[#This Row],[KELURAHAN / DESA]],Table2[Kelurahan],0))</f>
        <v>Sako</v>
      </c>
      <c r="J120" s="52" t="str">
        <f>INDEX(Table2[Kabupaten/Kota],MATCH(Table1[[#This Row],[KECAMATAN]],Table2[Kecamatan],0))</f>
        <v>Palembang</v>
      </c>
      <c r="K120" s="75" t="str">
        <f>INDEX(Table2[Provinsi],MATCH(Table1[[#This Row],[KAB./KOTA]],Table2[Kabupaten/Kota],0))</f>
        <v>Sumatera Selatan</v>
      </c>
      <c r="L120" s="43">
        <v>550</v>
      </c>
      <c r="M120" s="52" t="s">
        <v>533</v>
      </c>
      <c r="N120" s="52" t="s">
        <v>534</v>
      </c>
      <c r="O120" s="67" t="s">
        <v>215</v>
      </c>
    </row>
    <row r="121" spans="2:15" ht="31" x14ac:dyDescent="0.35">
      <c r="B121" s="73">
        <f>IF(Table1[[#This Row],[TANGGAL]]="","",ROW(N117))</f>
        <v>117</v>
      </c>
      <c r="C121" s="74">
        <v>46079</v>
      </c>
      <c r="D121" s="75" t="s">
        <v>153</v>
      </c>
      <c r="E121" s="51" t="str">
        <f>INDEX(Table5[KATEGORI PROGRAM],MATCH(Table1[[#This Row],[NAMA PROGRAM]],Table5[NAMA PROGRAM],0))</f>
        <v>Pangan</v>
      </c>
      <c r="F121" s="42" t="s">
        <v>538</v>
      </c>
      <c r="G121" s="76" t="s">
        <v>539</v>
      </c>
      <c r="H121" s="52" t="s">
        <v>96</v>
      </c>
      <c r="I121" s="52" t="str">
        <f>INDEX(Table2[Kecamatan],MATCH(Table1[[#This Row],[KELURAHAN / DESA]],Table2[Kelurahan],0))</f>
        <v>Kertapati</v>
      </c>
      <c r="J121" s="52" t="str">
        <f>INDEX(Table2[Kabupaten/Kota],MATCH(Table1[[#This Row],[KECAMATAN]],Table2[Kecamatan],0))</f>
        <v>Palembang</v>
      </c>
      <c r="K121" s="75" t="str">
        <f>INDEX(Table2[Provinsi],MATCH(Table1[[#This Row],[KAB./KOTA]],Table2[Kabupaten/Kota],0))</f>
        <v>Sumatera Selatan</v>
      </c>
      <c r="L121" s="43">
        <v>280</v>
      </c>
      <c r="M121" s="52" t="s">
        <v>528</v>
      </c>
      <c r="N121" s="52" t="s">
        <v>408</v>
      </c>
      <c r="O121" s="67" t="s">
        <v>208</v>
      </c>
    </row>
    <row r="122" spans="2:15" ht="29" x14ac:dyDescent="0.35">
      <c r="B122" s="73">
        <f>IF(Table1[[#This Row],[TANGGAL]]="","",ROW(N118))</f>
        <v>118</v>
      </c>
      <c r="C122" s="74">
        <v>46079</v>
      </c>
      <c r="D122" s="75" t="s">
        <v>7</v>
      </c>
      <c r="E122" s="51" t="str">
        <f>INDEX(Table5[KATEGORI PROGRAM],MATCH(Table1[[#This Row],[NAMA PROGRAM]],Table5[NAMA PROGRAM],0))</f>
        <v>Pendidikan</v>
      </c>
      <c r="F122" s="42" t="s">
        <v>351</v>
      </c>
      <c r="G122" s="76" t="s">
        <v>237</v>
      </c>
      <c r="H122" s="52" t="s">
        <v>99</v>
      </c>
      <c r="I122" s="52" t="str">
        <f>INDEX(Table2[Kecamatan],MATCH(Table1[[#This Row],[KELURAHAN / DESA]],Table2[Kelurahan],0))</f>
        <v>Kertapati</v>
      </c>
      <c r="J122" s="52" t="str">
        <f>INDEX(Table2[Kabupaten/Kota],MATCH(Table1[[#This Row],[KECAMATAN]],Table2[Kecamatan],0))</f>
        <v>Palembang</v>
      </c>
      <c r="K122" s="75" t="str">
        <f>INDEX(Table2[Provinsi],MATCH(Table1[[#This Row],[KAB./KOTA]],Table2[Kabupaten/Kota],0))</f>
        <v>Sumatera Selatan</v>
      </c>
      <c r="L122" s="43">
        <v>44</v>
      </c>
      <c r="M122" s="52" t="s">
        <v>9</v>
      </c>
      <c r="N122" s="52" t="s">
        <v>238</v>
      </c>
      <c r="O122" s="67" t="s">
        <v>206</v>
      </c>
    </row>
    <row r="123" spans="2:15" ht="31" x14ac:dyDescent="0.35">
      <c r="B123" s="73">
        <f>IF(Table1[[#This Row],[TANGGAL]]="","",ROW(N119))</f>
        <v>119</v>
      </c>
      <c r="C123" s="74">
        <v>46079</v>
      </c>
      <c r="D123" s="75" t="s">
        <v>245</v>
      </c>
      <c r="E123" s="51" t="str">
        <f>INDEX(Table5[KATEGORI PROGRAM],MATCH(Table1[[#This Row],[NAMA PROGRAM]],Table5[NAMA PROGRAM],0))</f>
        <v>Lingkungan</v>
      </c>
      <c r="F123" s="42" t="s">
        <v>540</v>
      </c>
      <c r="G123" s="76" t="s">
        <v>541</v>
      </c>
      <c r="H123" s="52" t="s">
        <v>96</v>
      </c>
      <c r="I123" s="52" t="str">
        <f>INDEX(Table2[Kecamatan],MATCH(Table1[[#This Row],[KELURAHAN / DESA]],Table2[Kelurahan],0))</f>
        <v>Kertapati</v>
      </c>
      <c r="J123" s="52" t="str">
        <f>INDEX(Table2[Kabupaten/Kota],MATCH(Table1[[#This Row],[KECAMATAN]],Table2[Kecamatan],0))</f>
        <v>Palembang</v>
      </c>
      <c r="K123" s="75" t="str">
        <f>INDEX(Table2[Provinsi],MATCH(Table1[[#This Row],[KAB./KOTA]],Table2[Kabupaten/Kota],0))</f>
        <v>Sumatera Selatan</v>
      </c>
      <c r="L123" s="43">
        <v>1000</v>
      </c>
      <c r="M123" s="52" t="s">
        <v>426</v>
      </c>
      <c r="N123" s="52" t="s">
        <v>408</v>
      </c>
      <c r="O123" s="67" t="s">
        <v>220</v>
      </c>
    </row>
    <row r="124" spans="2:15" ht="29" x14ac:dyDescent="0.35">
      <c r="B124" s="73">
        <f>IF(Table1[[#This Row],[TANGGAL]]="","",ROW(N120))</f>
        <v>120</v>
      </c>
      <c r="C124" s="74">
        <v>46079</v>
      </c>
      <c r="D124" s="75" t="s">
        <v>6</v>
      </c>
      <c r="E124" s="51" t="str">
        <f>INDEX(Table5[KATEGORI PROGRAM],MATCH(Table1[[#This Row],[NAMA PROGRAM]],Table5[NAMA PROGRAM],0))</f>
        <v>Pendidikan</v>
      </c>
      <c r="F124" s="42" t="s">
        <v>358</v>
      </c>
      <c r="G124" s="76" t="s">
        <v>242</v>
      </c>
      <c r="H124" s="52" t="s">
        <v>96</v>
      </c>
      <c r="I124" s="52" t="str">
        <f>INDEX(Table2[Kecamatan],MATCH(Table1[[#This Row],[KELURAHAN / DESA]],Table2[Kelurahan],0))</f>
        <v>Kertapati</v>
      </c>
      <c r="J124" s="52" t="str">
        <f>INDEX(Table2[Kabupaten/Kota],MATCH(Table1[[#This Row],[KECAMATAN]],Table2[Kecamatan],0))</f>
        <v>Palembang</v>
      </c>
      <c r="K124" s="75" t="str">
        <f>INDEX(Table2[Provinsi],MATCH(Table1[[#This Row],[KAB./KOTA]],Table2[Kabupaten/Kota],0))</f>
        <v>Sumatera Selatan</v>
      </c>
      <c r="L124" s="43">
        <v>60</v>
      </c>
      <c r="M124" s="52" t="s">
        <v>9</v>
      </c>
      <c r="N124" s="52" t="s">
        <v>243</v>
      </c>
      <c r="O124" s="67" t="s">
        <v>206</v>
      </c>
    </row>
    <row r="125" spans="2:15" ht="29" x14ac:dyDescent="0.35">
      <c r="B125" s="73">
        <f>IF(Table1[[#This Row],[TANGGAL]]="","",ROW(N121))</f>
        <v>121</v>
      </c>
      <c r="C125" s="74">
        <v>46080</v>
      </c>
      <c r="D125" s="75" t="s">
        <v>459</v>
      </c>
      <c r="E125" s="51" t="str">
        <f>INDEX(Table5[KATEGORI PROGRAM],MATCH(Table1[[#This Row],[NAMA PROGRAM]],Table5[NAMA PROGRAM],0))</f>
        <v>Pangan</v>
      </c>
      <c r="F125" s="42" t="s">
        <v>428</v>
      </c>
      <c r="G125" s="76" t="s">
        <v>429</v>
      </c>
      <c r="H125" s="52" t="s">
        <v>75</v>
      </c>
      <c r="I125" s="52" t="str">
        <f>INDEX(Table2[Kecamatan],MATCH(Table1[[#This Row],[KELURAHAN / DESA]],Table2[Kelurahan],0))</f>
        <v>Ilir Timur III</v>
      </c>
      <c r="J125" s="52" t="str">
        <f>INDEX(Table2[Kabupaten/Kota],MATCH(Table1[[#This Row],[KECAMATAN]],Table2[Kecamatan],0))</f>
        <v>Palembang</v>
      </c>
      <c r="K125" s="75" t="str">
        <f>INDEX(Table2[Provinsi],MATCH(Table1[[#This Row],[KAB./KOTA]],Table2[Kabupaten/Kota],0))</f>
        <v>Sumatera Selatan</v>
      </c>
      <c r="L125" s="43">
        <v>100</v>
      </c>
      <c r="M125" s="52" t="s">
        <v>415</v>
      </c>
      <c r="N125" s="52" t="s">
        <v>456</v>
      </c>
      <c r="O125" s="67" t="s">
        <v>241</v>
      </c>
    </row>
    <row r="126" spans="2:15" ht="29" x14ac:dyDescent="0.35">
      <c r="B126" s="73">
        <f>IF(Table1[[#This Row],[TANGGAL]]="","",ROW(N122))</f>
        <v>122</v>
      </c>
      <c r="C126" s="74">
        <v>46080</v>
      </c>
      <c r="D126" s="75" t="s">
        <v>459</v>
      </c>
      <c r="E126" s="51" t="str">
        <f>INDEX(Table5[KATEGORI PROGRAM],MATCH(Table1[[#This Row],[NAMA PROGRAM]],Table5[NAMA PROGRAM],0))</f>
        <v>Pangan</v>
      </c>
      <c r="F126" s="42" t="s">
        <v>554</v>
      </c>
      <c r="G126" s="76" t="s">
        <v>556</v>
      </c>
      <c r="H126" s="52" t="s">
        <v>557</v>
      </c>
      <c r="I126" s="52" t="str">
        <f>INDEX(Table2[Kecamatan],MATCH(Table1[[#This Row],[KELURAHAN / DESA]],Table2[Kelurahan],0))</f>
        <v>Indralaya</v>
      </c>
      <c r="J126" s="52" t="str">
        <f>INDEX(Table2[Kabupaten/Kota],MATCH(Table1[[#This Row],[KECAMATAN]],Table2[Kecamatan],0))</f>
        <v>Ogan Ilir</v>
      </c>
      <c r="K126" s="75" t="str">
        <f>INDEX(Table2[Provinsi],MATCH(Table1[[#This Row],[KAB./KOTA]],Table2[Kabupaten/Kota],0))</f>
        <v>Sumatera Selatan</v>
      </c>
      <c r="L126" s="43">
        <v>100</v>
      </c>
      <c r="M126" s="52" t="s">
        <v>415</v>
      </c>
      <c r="N126" s="52" t="s">
        <v>408</v>
      </c>
      <c r="O126" s="67" t="s">
        <v>210</v>
      </c>
    </row>
    <row r="127" spans="2:15" ht="29" x14ac:dyDescent="0.35">
      <c r="B127" s="73">
        <f>IF(Table1[[#This Row],[TANGGAL]]="","",ROW(N123))</f>
        <v>123</v>
      </c>
      <c r="C127" s="74">
        <v>46080</v>
      </c>
      <c r="D127" s="75" t="s">
        <v>459</v>
      </c>
      <c r="E127" s="51" t="str">
        <f>INDEX(Table5[KATEGORI PROGRAM],MATCH(Table1[[#This Row],[NAMA PROGRAM]],Table5[NAMA PROGRAM],0))</f>
        <v>Pangan</v>
      </c>
      <c r="F127" s="42" t="s">
        <v>549</v>
      </c>
      <c r="G127" s="76" t="s">
        <v>550</v>
      </c>
      <c r="H127" s="52" t="s">
        <v>82</v>
      </c>
      <c r="I127" s="52" t="str">
        <f>INDEX(Table2[Kecamatan],MATCH(Table1[[#This Row],[KELURAHAN / DESA]],Table2[Kelurahan],0))</f>
        <v>Jakabaring</v>
      </c>
      <c r="J127" s="52" t="str">
        <f>INDEX(Table2[Kabupaten/Kota],MATCH(Table1[[#This Row],[KECAMATAN]],Table2[Kecamatan],0))</f>
        <v>Palembang</v>
      </c>
      <c r="K127" s="75" t="str">
        <f>INDEX(Table2[Provinsi],MATCH(Table1[[#This Row],[KAB./KOTA]],Table2[Kabupaten/Kota],0))</f>
        <v>Sumatera Selatan</v>
      </c>
      <c r="L127" s="43">
        <v>100</v>
      </c>
      <c r="M127" s="52" t="s">
        <v>416</v>
      </c>
      <c r="N127" s="52" t="s">
        <v>456</v>
      </c>
      <c r="O127" s="67" t="s">
        <v>210</v>
      </c>
    </row>
    <row r="128" spans="2:15" ht="29" x14ac:dyDescent="0.35">
      <c r="B128" s="73">
        <f>IF(Table1[[#This Row],[TANGGAL]]="","",ROW(N124))</f>
        <v>124</v>
      </c>
      <c r="C128" s="74">
        <v>46080</v>
      </c>
      <c r="D128" s="75" t="s">
        <v>459</v>
      </c>
      <c r="E128" s="51" t="str">
        <f>INDEX(Table5[KATEGORI PROGRAM],MATCH(Table1[[#This Row],[NAMA PROGRAM]],Table5[NAMA PROGRAM],0))</f>
        <v>Pangan</v>
      </c>
      <c r="F128" s="42" t="s">
        <v>351</v>
      </c>
      <c r="G128" s="76" t="s">
        <v>309</v>
      </c>
      <c r="H128" s="52" t="s">
        <v>99</v>
      </c>
      <c r="I128" s="52" t="str">
        <f>INDEX(Table2[Kecamatan],MATCH(Table1[[#This Row],[KELURAHAN / DESA]],Table2[Kelurahan],0))</f>
        <v>Kertapati</v>
      </c>
      <c r="J128" s="52" t="str">
        <f>INDEX(Table2[Kabupaten/Kota],MATCH(Table1[[#This Row],[KECAMATAN]],Table2[Kecamatan],0))</f>
        <v>Palembang</v>
      </c>
      <c r="K128" s="75" t="str">
        <f>INDEX(Table2[Provinsi],MATCH(Table1[[#This Row],[KAB./KOTA]],Table2[Kabupaten/Kota],0))</f>
        <v>Sumatera Selatan</v>
      </c>
      <c r="L128" s="43">
        <v>120</v>
      </c>
      <c r="M128" s="52" t="s">
        <v>415</v>
      </c>
      <c r="N128" s="52" t="s">
        <v>456</v>
      </c>
      <c r="O128" s="67" t="s">
        <v>209</v>
      </c>
    </row>
    <row r="129" spans="2:15" ht="31" x14ac:dyDescent="0.35">
      <c r="B129" s="73">
        <f>IF(Table1[[#This Row],[TANGGAL]]="","",ROW(N125))</f>
        <v>125</v>
      </c>
      <c r="C129" s="74">
        <v>46080</v>
      </c>
      <c r="D129" s="75" t="s">
        <v>454</v>
      </c>
      <c r="E129" s="51" t="str">
        <f>INDEX(Table5[KATEGORI PROGRAM],MATCH(Table1[[#This Row],[NAMA PROGRAM]],Table5[NAMA PROGRAM],0))</f>
        <v>Pangan</v>
      </c>
      <c r="F129" s="42" t="s">
        <v>457</v>
      </c>
      <c r="G129" s="76" t="s">
        <v>458</v>
      </c>
      <c r="H129" s="52" t="s">
        <v>48</v>
      </c>
      <c r="I129" s="52" t="str">
        <f>INDEX(Table2[Kecamatan],MATCH(Table1[[#This Row],[KELURAHAN / DESA]],Table2[Kelurahan],0))</f>
        <v>Ilir Barat I</v>
      </c>
      <c r="J129" s="52" t="str">
        <f>INDEX(Table2[Kabupaten/Kota],MATCH(Table1[[#This Row],[KECAMATAN]],Table2[Kecamatan],0))</f>
        <v>Palembang</v>
      </c>
      <c r="K129" s="75" t="str">
        <f>INDEX(Table2[Provinsi],MATCH(Table1[[#This Row],[KAB./KOTA]],Table2[Kabupaten/Kota],0))</f>
        <v>Sumatera Selatan</v>
      </c>
      <c r="L129" s="43">
        <v>83</v>
      </c>
      <c r="M129" s="52" t="s">
        <v>455</v>
      </c>
      <c r="N129" s="52" t="s">
        <v>456</v>
      </c>
      <c r="O129" s="67" t="s">
        <v>212</v>
      </c>
    </row>
    <row r="130" spans="2:15" ht="31" x14ac:dyDescent="0.35">
      <c r="B130" s="73">
        <f>IF(Table1[[#This Row],[TANGGAL]]="","",ROW(N126))</f>
        <v>126</v>
      </c>
      <c r="C130" s="74">
        <v>46080</v>
      </c>
      <c r="D130" s="75" t="s">
        <v>462</v>
      </c>
      <c r="E130" s="51" t="str">
        <f>INDEX(Table5[KATEGORI PROGRAM],MATCH(Table1[[#This Row],[NAMA PROGRAM]],Table5[NAMA PROGRAM],0))</f>
        <v>Pangan</v>
      </c>
      <c r="F130" s="42" t="s">
        <v>559</v>
      </c>
      <c r="G130" s="76" t="s">
        <v>560</v>
      </c>
      <c r="H130" s="52" t="s">
        <v>48</v>
      </c>
      <c r="I130" s="52" t="str">
        <f>INDEX(Table2[Kecamatan],MATCH(Table1[[#This Row],[KELURAHAN / DESA]],Table2[Kelurahan],0))</f>
        <v>Ilir Barat I</v>
      </c>
      <c r="J130" s="52" t="str">
        <f>INDEX(Table2[Kabupaten/Kota],MATCH(Table1[[#This Row],[KECAMATAN]],Table2[Kecamatan],0))</f>
        <v>Palembang</v>
      </c>
      <c r="K130" s="75" t="str">
        <f>INDEX(Table2[Provinsi],MATCH(Table1[[#This Row],[KAB./KOTA]],Table2[Kabupaten/Kota],0))</f>
        <v>Sumatera Selatan</v>
      </c>
      <c r="L130" s="43">
        <v>70</v>
      </c>
      <c r="M130" s="52">
        <v>4</v>
      </c>
      <c r="N130" s="52" t="s">
        <v>456</v>
      </c>
      <c r="O130" s="67" t="s">
        <v>212</v>
      </c>
    </row>
    <row r="131" spans="2:15" ht="31" x14ac:dyDescent="0.35">
      <c r="B131" s="73">
        <f>IF(Table1[[#This Row],[TANGGAL]]="","",ROW(N127))</f>
        <v>127</v>
      </c>
      <c r="C131" s="74">
        <v>46080</v>
      </c>
      <c r="D131" s="75" t="s">
        <v>548</v>
      </c>
      <c r="E131" s="51" t="str">
        <f>INDEX(Table5[KATEGORI PROGRAM],MATCH(Table1[[#This Row],[NAMA PROGRAM]],Table5[NAMA PROGRAM],0))</f>
        <v>Event Sosial</v>
      </c>
      <c r="F131" s="42" t="s">
        <v>553</v>
      </c>
      <c r="G131" s="76" t="s">
        <v>551</v>
      </c>
      <c r="H131" s="52" t="s">
        <v>112</v>
      </c>
      <c r="I131" s="52" t="str">
        <f>INDEX(Table2[Kecamatan],MATCH(Table1[[#This Row],[KELURAHAN / DESA]],Table2[Kelurahan],0))</f>
        <v>Sako</v>
      </c>
      <c r="J131" s="52" t="str">
        <f>INDEX(Table2[Kabupaten/Kota],MATCH(Table1[[#This Row],[KECAMATAN]],Table2[Kecamatan],0))</f>
        <v>Palembang</v>
      </c>
      <c r="K131" s="75" t="str">
        <f>INDEX(Table2[Provinsi],MATCH(Table1[[#This Row],[KAB./KOTA]],Table2[Kabupaten/Kota],0))</f>
        <v>Sumatera Selatan</v>
      </c>
      <c r="L131" s="43">
        <v>75</v>
      </c>
      <c r="M131" s="52" t="s">
        <v>552</v>
      </c>
      <c r="N131" s="52" t="s">
        <v>420</v>
      </c>
      <c r="O131" s="67" t="s">
        <v>208</v>
      </c>
    </row>
    <row r="132" spans="2:15" ht="31" x14ac:dyDescent="0.35">
      <c r="B132" s="73">
        <f>IF(Table1[[#This Row],[TANGGAL]]="","",ROW(N128))</f>
        <v>128</v>
      </c>
      <c r="C132" s="74">
        <v>46080</v>
      </c>
      <c r="D132" s="75" t="s">
        <v>464</v>
      </c>
      <c r="E132" s="51" t="str">
        <f>INDEX(Table5[KATEGORI PROGRAM],MATCH(Table1[[#This Row],[NAMA PROGRAM]],Table5[NAMA PROGRAM],0))</f>
        <v>Syiar &amp; Dakwah</v>
      </c>
      <c r="F132" s="42" t="s">
        <v>546</v>
      </c>
      <c r="G132" s="76" t="s">
        <v>547</v>
      </c>
      <c r="H132" s="52" t="s">
        <v>34</v>
      </c>
      <c r="I132" s="52" t="str">
        <f>INDEX(Table2[Kecamatan],MATCH(Table1[[#This Row],[KELURAHAN / DESA]],Table2[Kelurahan],0))</f>
        <v>Alang-Alang Lebar</v>
      </c>
      <c r="J132" s="52" t="str">
        <f>INDEX(Table2[Kabupaten/Kota],MATCH(Table1[[#This Row],[KECAMATAN]],Table2[Kecamatan],0))</f>
        <v>Palembang</v>
      </c>
      <c r="K132" s="75" t="str">
        <f>INDEX(Table2[Provinsi],MATCH(Table1[[#This Row],[KAB./KOTA]],Table2[Kabupaten/Kota],0))</f>
        <v>Sumatera Selatan</v>
      </c>
      <c r="L132" s="43">
        <v>150</v>
      </c>
      <c r="M132" s="52" t="s">
        <v>467</v>
      </c>
      <c r="N132" s="52" t="s">
        <v>468</v>
      </c>
      <c r="O132" s="67" t="s">
        <v>216</v>
      </c>
    </row>
    <row r="133" spans="2:15" ht="31" x14ac:dyDescent="0.35">
      <c r="B133" s="73">
        <f>IF(Table1[[#This Row],[TANGGAL]]="","",ROW(N129))</f>
        <v>129</v>
      </c>
      <c r="C133" s="74">
        <v>46080</v>
      </c>
      <c r="D133" s="75" t="s">
        <v>532</v>
      </c>
      <c r="E133" s="51" t="str">
        <f>INDEX(Table5[KATEGORI PROGRAM],MATCH(Table1[[#This Row],[NAMA PROGRAM]],Table5[NAMA PROGRAM],0))</f>
        <v>Event Sosial</v>
      </c>
      <c r="F133" s="42" t="s">
        <v>542</v>
      </c>
      <c r="G133" s="76" t="s">
        <v>543</v>
      </c>
      <c r="H133" s="52" t="s">
        <v>544</v>
      </c>
      <c r="I133" s="52" t="str">
        <f>INDEX(Table2[Kecamatan],MATCH(Table1[[#This Row],[KELURAHAN / DESA]],Table2[Kelurahan],0))</f>
        <v>Rambutan</v>
      </c>
      <c r="J133" s="52" t="str">
        <f>INDEX(Table2[Kabupaten/Kota],MATCH(Table1[[#This Row],[KECAMATAN]],Table2[Kecamatan],0))</f>
        <v>Banyuasin</v>
      </c>
      <c r="K133" s="75" t="str">
        <f>INDEX(Table2[Provinsi],MATCH(Table1[[#This Row],[KAB./KOTA]],Table2[Kabupaten/Kota],0))</f>
        <v>Sumatera Selatan</v>
      </c>
      <c r="L133" s="43">
        <v>300</v>
      </c>
      <c r="M133" s="52" t="s">
        <v>533</v>
      </c>
      <c r="N133" s="52" t="s">
        <v>534</v>
      </c>
      <c r="O133" s="67" t="s">
        <v>215</v>
      </c>
    </row>
    <row r="134" spans="2:15" ht="29" x14ac:dyDescent="0.35">
      <c r="B134" s="73">
        <f>IF(Table1[[#This Row],[TANGGAL]]="","",ROW(N130))</f>
        <v>130</v>
      </c>
      <c r="C134" s="74">
        <v>46081</v>
      </c>
      <c r="D134" s="75" t="s">
        <v>459</v>
      </c>
      <c r="E134" s="51" t="str">
        <f>INDEX(Table5[KATEGORI PROGRAM],MATCH(Table1[[#This Row],[NAMA PROGRAM]],Table5[NAMA PROGRAM],0))</f>
        <v>Pangan</v>
      </c>
      <c r="F134" s="42" t="s">
        <v>358</v>
      </c>
      <c r="G134" s="76" t="s">
        <v>242</v>
      </c>
      <c r="H134" s="52" t="s">
        <v>96</v>
      </c>
      <c r="I134" s="52" t="str">
        <f>INDEX(Table2[Kecamatan],MATCH(Table1[[#This Row],[KELURAHAN / DESA]],Table2[Kelurahan],0))</f>
        <v>Kertapati</v>
      </c>
      <c r="J134" s="52" t="str">
        <f>INDEX(Table2[Kabupaten/Kota],MATCH(Table1[[#This Row],[KECAMATAN]],Table2[Kecamatan],0))</f>
        <v>Palembang</v>
      </c>
      <c r="K134" s="75" t="str">
        <f>INDEX(Table2[Provinsi],MATCH(Table1[[#This Row],[KAB./KOTA]],Table2[Kabupaten/Kota],0))</f>
        <v>Sumatera Selatan</v>
      </c>
      <c r="L134" s="43">
        <v>125</v>
      </c>
      <c r="M134" s="52" t="s">
        <v>455</v>
      </c>
      <c r="N134" s="52" t="s">
        <v>243</v>
      </c>
      <c r="O134" s="67" t="s">
        <v>206</v>
      </c>
    </row>
    <row r="135" spans="2:15" ht="31" x14ac:dyDescent="0.35">
      <c r="B135" s="73">
        <f>IF(Table1[[#This Row],[TANGGAL]]="","",ROW(N131))</f>
        <v>131</v>
      </c>
      <c r="C135" s="74">
        <v>46081</v>
      </c>
      <c r="D135" s="75" t="s">
        <v>459</v>
      </c>
      <c r="E135" s="51" t="str">
        <f>INDEX(Table5[KATEGORI PROGRAM],MATCH(Table1[[#This Row],[NAMA PROGRAM]],Table5[NAMA PROGRAM],0))</f>
        <v>Pangan</v>
      </c>
      <c r="F135" s="42" t="s">
        <v>403</v>
      </c>
      <c r="G135" s="76" t="s">
        <v>404</v>
      </c>
      <c r="H135" s="52" t="s">
        <v>99</v>
      </c>
      <c r="I135" s="52" t="str">
        <f>INDEX(Table2[Kecamatan],MATCH(Table1[[#This Row],[KELURAHAN / DESA]],Table2[Kelurahan],0))</f>
        <v>Kertapati</v>
      </c>
      <c r="J135" s="52" t="str">
        <f>INDEX(Table2[Kabupaten/Kota],MATCH(Table1[[#This Row],[KECAMATAN]],Table2[Kecamatan],0))</f>
        <v>Palembang</v>
      </c>
      <c r="K135" s="75" t="str">
        <f>INDEX(Table2[Provinsi],MATCH(Table1[[#This Row],[KAB./KOTA]],Table2[Kabupaten/Kota],0))</f>
        <v>Sumatera Selatan</v>
      </c>
      <c r="L135" s="43">
        <v>130</v>
      </c>
      <c r="M135" s="52" t="s">
        <v>415</v>
      </c>
      <c r="N135" s="52" t="s">
        <v>563</v>
      </c>
      <c r="O135" s="67" t="s">
        <v>206</v>
      </c>
    </row>
    <row r="136" spans="2:15" ht="31" x14ac:dyDescent="0.35">
      <c r="B136" s="73">
        <f>IF(Table1[[#This Row],[TANGGAL]]="","",ROW(N132))</f>
        <v>132</v>
      </c>
      <c r="C136" s="74">
        <v>46081</v>
      </c>
      <c r="D136" s="75" t="s">
        <v>532</v>
      </c>
      <c r="E136" s="51" t="str">
        <f>INDEX(Table5[KATEGORI PROGRAM],MATCH(Table1[[#This Row],[NAMA PROGRAM]],Table5[NAMA PROGRAM],0))</f>
        <v>Event Sosial</v>
      </c>
      <c r="F136" s="42" t="s">
        <v>562</v>
      </c>
      <c r="G136" s="76" t="s">
        <v>561</v>
      </c>
      <c r="H136" s="52" t="s">
        <v>119</v>
      </c>
      <c r="I136" s="52" t="str">
        <f>INDEX(Table2[Kecamatan],MATCH(Table1[[#This Row],[KELURAHAN / DESA]],Table2[Kelurahan],0))</f>
        <v>Seberang Ulu II</v>
      </c>
      <c r="J136" s="52" t="str">
        <f>INDEX(Table2[Kabupaten/Kota],MATCH(Table1[[#This Row],[KECAMATAN]],Table2[Kecamatan],0))</f>
        <v>Palembang</v>
      </c>
      <c r="K136" s="75" t="str">
        <f>INDEX(Table2[Provinsi],MATCH(Table1[[#This Row],[KAB./KOTA]],Table2[Kabupaten/Kota],0))</f>
        <v>Sumatera Selatan</v>
      </c>
      <c r="L136" s="43">
        <v>300</v>
      </c>
      <c r="M136" s="52" t="s">
        <v>533</v>
      </c>
      <c r="N136" s="52" t="s">
        <v>534</v>
      </c>
      <c r="O136" s="67" t="s">
        <v>215</v>
      </c>
    </row>
    <row r="137" spans="2:15" ht="31" x14ac:dyDescent="0.35">
      <c r="B137" s="73">
        <f>IF(Table1[[#This Row],[TANGGAL]]="","",ROW(N133))</f>
        <v>133</v>
      </c>
      <c r="C137" s="74">
        <v>46081</v>
      </c>
      <c r="D137" s="75" t="s">
        <v>245</v>
      </c>
      <c r="E137" s="51" t="str">
        <f>INDEX(Table5[KATEGORI PROGRAM],MATCH(Table1[[#This Row],[NAMA PROGRAM]],Table5[NAMA PROGRAM],0))</f>
        <v>Lingkungan</v>
      </c>
      <c r="F137" s="42" t="s">
        <v>351</v>
      </c>
      <c r="G137" s="76" t="s">
        <v>425</v>
      </c>
      <c r="H137" s="52" t="s">
        <v>99</v>
      </c>
      <c r="I137" s="52" t="str">
        <f>INDEX(Table2[Kecamatan],MATCH(Table1[[#This Row],[KELURAHAN / DESA]],Table2[Kelurahan],0))</f>
        <v>Kertapati</v>
      </c>
      <c r="J137" s="52" t="str">
        <f>INDEX(Table2[Kabupaten/Kota],MATCH(Table1[[#This Row],[KECAMATAN]],Table2[Kecamatan],0))</f>
        <v>Palembang</v>
      </c>
      <c r="K137" s="75" t="str">
        <f>INDEX(Table2[Provinsi],MATCH(Table1[[#This Row],[KAB./KOTA]],Table2[Kabupaten/Kota],0))</f>
        <v>Sumatera Selatan</v>
      </c>
      <c r="L137" s="43">
        <v>1000</v>
      </c>
      <c r="M137" s="52" t="s">
        <v>426</v>
      </c>
      <c r="N137" s="52" t="s">
        <v>456</v>
      </c>
      <c r="O137" s="67" t="s">
        <v>220</v>
      </c>
    </row>
  </sheetData>
  <mergeCells count="1">
    <mergeCell ref="B2:N2"/>
  </mergeCells>
  <phoneticPr fontId="6" type="noConversion"/>
  <dataValidations count="3">
    <dataValidation type="list" allowBlank="1" showInputMessage="1" showErrorMessage="1" sqref="D5:D137" xr:uid="{2C56FC60-64E9-42CD-8A91-DF334E5386DF}">
      <formula1>t_nm</formula1>
    </dataValidation>
    <dataValidation type="list" allowBlank="1" showInputMessage="1" showErrorMessage="1" sqref="H5:H137" xr:uid="{CA38EC53-206F-40FD-914E-05959DAF4E92}">
      <formula1>t_kel</formula1>
    </dataValidation>
    <dataValidation type="list" allowBlank="1" showInputMessage="1" showErrorMessage="1" sqref="O5:O137" xr:uid="{3C7D2800-C879-47DB-84BE-AC76A47A38E9}">
      <formula1>T_SPMFIX</formula1>
    </dataValidation>
  </dataValidations>
  <hyperlinks>
    <hyperlink ref="F7" r:id="rId1" xr:uid="{3E845A69-D17F-4A4F-822B-01DABAB1343C}"/>
    <hyperlink ref="F6" r:id="rId2" xr:uid="{1019CF98-9D3B-4E9A-895D-0C6B7BE6D401}"/>
    <hyperlink ref="F5" r:id="rId3" xr:uid="{E4C37657-DEDE-4754-B40B-6911319F35B6}"/>
    <hyperlink ref="F11" r:id="rId4" xr:uid="{F9645A3A-779E-46CE-9FC3-DDA7995611B6}"/>
    <hyperlink ref="F13" r:id="rId5" xr:uid="{64247B13-4534-45C9-ADA4-E421D73EC399}"/>
    <hyperlink ref="F14" r:id="rId6" xr:uid="{66443AC4-7389-4C74-AF53-D8149F7E20F5}"/>
    <hyperlink ref="F15" r:id="rId7" xr:uid="{4A17E063-610C-44CC-83C6-140DA454D611}"/>
    <hyperlink ref="F16" r:id="rId8" xr:uid="{B995169D-8F56-4875-ACA5-FADF3848C2EF}"/>
    <hyperlink ref="F8" r:id="rId9" xr:uid="{59BB0D14-CF4D-4078-A511-440EFA88D33C}"/>
    <hyperlink ref="F9" r:id="rId10" xr:uid="{1F6DCC11-0913-4D69-AB63-FF951B18FC76}"/>
    <hyperlink ref="F12" r:id="rId11" xr:uid="{71225925-9BF7-4B82-BB17-A19AA556B700}"/>
    <hyperlink ref="F20" r:id="rId12" xr:uid="{371C24F1-1F51-455F-A25D-0AA5AE31BA0F}"/>
    <hyperlink ref="F18" r:id="rId13" xr:uid="{4CC65FD6-557E-4E59-8C90-F9054445FF69}"/>
    <hyperlink ref="F19" r:id="rId14" xr:uid="{EA381FF8-AF81-463F-99D2-99ECBE3185EE}"/>
    <hyperlink ref="F21" r:id="rId15" xr:uid="{5867C97A-3C7D-4408-A0E3-9278A02B884C}"/>
    <hyperlink ref="F22" r:id="rId16" xr:uid="{AA408F9B-B4B2-4DCE-8D7B-0D4E269B0E4B}"/>
    <hyperlink ref="F28" r:id="rId17" xr:uid="{33CC1A4D-1DEA-4586-B547-E67FE4C74A67}"/>
    <hyperlink ref="F33" r:id="rId18" xr:uid="{2E5BF9BB-0465-4D39-9452-93330DAB788A}"/>
    <hyperlink ref="F31" r:id="rId19" xr:uid="{7A173E84-03C2-4E0B-A2D5-0174BD9E91D9}"/>
    <hyperlink ref="F32" r:id="rId20" xr:uid="{6690B8E6-412C-495C-994F-F3B275A46C4C}"/>
    <hyperlink ref="F30" r:id="rId21" xr:uid="{0E0DC01F-2436-4C49-B9BA-81B565047BB2}"/>
    <hyperlink ref="F29" r:id="rId22" xr:uid="{285B31CB-8B91-46FE-9A00-96199C3ADB03}"/>
    <hyperlink ref="F26" r:id="rId23" xr:uid="{97153D3B-3F10-4352-AF84-EDDD65875397}"/>
    <hyperlink ref="F27" r:id="rId24" xr:uid="{9461F259-C1FD-4DB9-BCD8-E8BE8502588D}"/>
    <hyperlink ref="F24" r:id="rId25" xr:uid="{81C56185-551C-4580-9C6A-B33AF1B35744}"/>
    <hyperlink ref="F25" r:id="rId26" xr:uid="{16F0B05E-5E5C-4EB4-8AB8-74A82A1A8625}"/>
    <hyperlink ref="F39" r:id="rId27" xr:uid="{552B5010-CCC6-4B98-8753-188BE63720AC}"/>
    <hyperlink ref="F36" r:id="rId28" xr:uid="{E47B5CD9-A644-42D2-8B9A-8F06D272D20B}"/>
    <hyperlink ref="F35" r:id="rId29" xr:uid="{C0E26E8B-C954-4CB0-A874-240FCB0A3119}"/>
    <hyperlink ref="F34" r:id="rId30" xr:uid="{50452721-B3DC-41CA-B5D7-4B4AA40D15E9}"/>
    <hyperlink ref="F38" r:id="rId31" xr:uid="{7D8339C1-5197-4505-B3A6-76AFDF8D81C8}"/>
    <hyperlink ref="F37" r:id="rId32" xr:uid="{3806314C-43D2-4305-BB31-E37F7B138B18}"/>
    <hyperlink ref="F41" r:id="rId33" xr:uid="{C3F790DC-A166-4D1D-A4E1-6114FFFE4181}"/>
    <hyperlink ref="F40" r:id="rId34" xr:uid="{9115937F-9DB4-46FC-85BC-2EA16C4087CE}"/>
    <hyperlink ref="F43" r:id="rId35" xr:uid="{6DDBA8A5-C24F-4F8B-9E94-EE64E5C66463}"/>
    <hyperlink ref="F44" r:id="rId36" xr:uid="{F4C0B875-4273-4B19-B559-D163F8A2874F}"/>
    <hyperlink ref="F47" r:id="rId37" xr:uid="{FBAD8673-FB7B-447F-995E-9C6CE731D137}"/>
    <hyperlink ref="F48" r:id="rId38" xr:uid="{AC738543-C292-4E91-96D2-23DADD481D90}"/>
    <hyperlink ref="F53" r:id="rId39" xr:uid="{4B909751-E2FB-4F2E-B3CD-7F0BE4E485A7}"/>
    <hyperlink ref="F50" r:id="rId40" xr:uid="{B041C1EF-CD73-416C-A43D-CE0274E44C8A}"/>
    <hyperlink ref="F58" r:id="rId41" xr:uid="{E47EE0E3-D163-4992-B059-1462273207B5}"/>
    <hyperlink ref="F61" r:id="rId42" xr:uid="{76402506-50F0-422C-9F1D-0C57FC01072D}"/>
    <hyperlink ref="F59" r:id="rId43" xr:uid="{D7A20957-A171-4AD6-96F5-BC142CEAD6F4}"/>
    <hyperlink ref="F60" r:id="rId44" xr:uid="{92BE0D1A-2FFD-4CBB-B8EB-BCCECB2DF2A5}"/>
    <hyperlink ref="F62" r:id="rId45" xr:uid="{CD4C53CB-9E21-41A7-8873-9C19B1FEE09D}"/>
    <hyperlink ref="F56" r:id="rId46" xr:uid="{CBC9D954-7E27-4759-844A-1148893E88C6}"/>
    <hyperlink ref="F55" r:id="rId47" xr:uid="{E523F40A-F3CD-45DF-A1DE-CB08BB9A4765}"/>
    <hyperlink ref="F79" r:id="rId48" xr:uid="{86ED4C7C-2877-46A5-ADC3-F144AD587F19}"/>
    <hyperlink ref="F78" r:id="rId49" xr:uid="{2F43690E-A7CE-4F03-AC4E-725874018B9C}"/>
    <hyperlink ref="F74" r:id="rId50" xr:uid="{AD88BBC0-77DA-4ABC-9AB6-5C885C3226C2}"/>
    <hyperlink ref="F77" r:id="rId51" xr:uid="{908C65A7-2AAA-49B7-A0BF-834A13ACB84C}"/>
    <hyperlink ref="F80" r:id="rId52" xr:uid="{89523A48-7F05-4B5D-BBBF-9E5B011628F8}"/>
    <hyperlink ref="F76" r:id="rId53" xr:uid="{D48C9C76-2553-4368-99AC-AEF99CDB52FA}"/>
    <hyperlink ref="F75" r:id="rId54" xr:uid="{374D89B2-717F-40C8-872B-BFCD78D57321}"/>
    <hyperlink ref="F81" r:id="rId55" xr:uid="{40FDFF05-B1A2-441A-A069-1D489816D969}"/>
    <hyperlink ref="F84" r:id="rId56" xr:uid="{17911104-003F-4966-BC9E-CA7F2CAA165E}"/>
    <hyperlink ref="F86" r:id="rId57" xr:uid="{8F3B6F3D-9180-4DBC-9CCE-BD3C2C6A6033}"/>
    <hyperlink ref="F85" r:id="rId58" xr:uid="{0B120467-4B90-42B2-AA09-68CC210B43F6}"/>
    <hyperlink ref="F54" r:id="rId59" xr:uid="{860F7CED-E870-4590-95CC-BCDA423B8609}"/>
    <hyperlink ref="F83" r:id="rId60" xr:uid="{164CB793-FBA3-40E2-B5BF-8E78BEC51913}"/>
    <hyperlink ref="F87" r:id="rId61" xr:uid="{8AEA5FBC-B629-4414-A068-1CF2188E6823}"/>
    <hyperlink ref="F90" r:id="rId62" xr:uid="{5FC5C256-63DC-4B67-B175-B9E3CC80BD54}"/>
    <hyperlink ref="F89" r:id="rId63" xr:uid="{F9ABE242-F955-4792-B859-A5A365D71135}"/>
    <hyperlink ref="F88" r:id="rId64" xr:uid="{816299B2-522B-462E-A84A-27527FA06DB1}"/>
    <hyperlink ref="F93" r:id="rId65" xr:uid="{EDDC4471-F6F1-4E94-9469-242C99984BEF}"/>
    <hyperlink ref="F92" r:id="rId66" xr:uid="{9EDF5BF1-AF1C-4632-AA6A-55B7651F93DB}"/>
    <hyperlink ref="F91" r:id="rId67" xr:uid="{91E329D9-1C07-4968-80B0-F1580D165EFD}"/>
    <hyperlink ref="F96" r:id="rId68" xr:uid="{F095A776-5FE9-4109-BC24-800FF6692FC9}"/>
    <hyperlink ref="F97" r:id="rId69" xr:uid="{23429326-D11C-491C-AD24-AE81E6E88F0C}"/>
    <hyperlink ref="F94" r:id="rId70" xr:uid="{5DC6B1A8-AEAF-4E61-A71A-628371726E21}"/>
    <hyperlink ref="F95" r:id="rId71" xr:uid="{4F502F7E-4191-4689-9F3B-FAD6E2F9FB1F}"/>
    <hyperlink ref="F99" r:id="rId72" xr:uid="{EB0A9360-BA63-43D9-A157-B2A2A8F5AA82}"/>
    <hyperlink ref="F98" r:id="rId73" xr:uid="{485962C5-8A45-410E-845D-D518E65BDCFC}"/>
    <hyperlink ref="F100" r:id="rId74" xr:uid="{5CC9297F-284B-4321-8408-B8F12A3E5749}"/>
    <hyperlink ref="F101" r:id="rId75" xr:uid="{A86379A1-AA8A-4FDA-B4DD-277D5966562D}"/>
    <hyperlink ref="F102" r:id="rId76" xr:uid="{B2E4DC4D-9107-44A0-ADC7-A5DBF4460B1B}"/>
    <hyperlink ref="F103" r:id="rId77" xr:uid="{861541F6-EB54-4D13-A7B4-84F21AF417A5}"/>
    <hyperlink ref="F106" r:id="rId78" xr:uid="{6BB3179B-479E-4DF9-A925-F4C3255507CA}"/>
    <hyperlink ref="F105" r:id="rId79" xr:uid="{74B12673-4AEB-40EE-9D9E-52BA8F83BB58}"/>
    <hyperlink ref="F63" r:id="rId80" xr:uid="{39C53E8E-A987-4941-BC91-DA3FDF544B2F}"/>
    <hyperlink ref="F65" r:id="rId81" xr:uid="{152C6AD5-70E8-4E22-9376-6023BFEA4D66}"/>
    <hyperlink ref="F66" r:id="rId82" xr:uid="{395844F4-8FD5-4EA2-9FBC-0AE9D896F662}"/>
    <hyperlink ref="F69" r:id="rId83" xr:uid="{B6D00FC8-FACC-41EC-8FBA-7BFF580899E1}"/>
    <hyperlink ref="F68" r:id="rId84" xr:uid="{0EA67E38-4319-4B08-B130-4542DD6FB049}"/>
    <hyperlink ref="F72" r:id="rId85" xr:uid="{75913AF7-2B5D-4CD0-80C2-052738DA50BC}"/>
    <hyperlink ref="F73" r:id="rId86" xr:uid="{F82B1CA3-6D23-4D9D-844D-547DC2895026}"/>
    <hyperlink ref="F71" r:id="rId87" xr:uid="{358D2214-736B-4050-8DA5-57EFEA53A618}"/>
    <hyperlink ref="F107" r:id="rId88" xr:uid="{8B7D14E5-113D-4CB6-8A91-C325BA8FC368}"/>
    <hyperlink ref="F108" r:id="rId89" xr:uid="{04C192A3-2945-43E7-A273-4A76F832DCBD}"/>
    <hyperlink ref="F104" r:id="rId90" xr:uid="{7E0C4847-0A62-4F55-81D3-B5B0EAFC175E}"/>
    <hyperlink ref="F10" r:id="rId91" xr:uid="{1264B86B-A55E-466A-A0FD-26A85FF45486}"/>
    <hyperlink ref="F17" r:id="rId92" xr:uid="{661E3EA1-F7E2-44A7-91C5-FDCB1349A0CA}"/>
    <hyperlink ref="F23" r:id="rId93" xr:uid="{7C895516-348A-439F-A4F1-31E76DD911C9}"/>
    <hyperlink ref="F42" r:id="rId94" xr:uid="{FEC85BB3-4EFA-46E8-8A65-89E91E705AC5}"/>
    <hyperlink ref="F52" r:id="rId95" xr:uid="{A64EB196-FC7B-48D9-BF28-C4580A4AC7C4}"/>
    <hyperlink ref="F51" r:id="rId96" xr:uid="{3AC14AD0-D661-4E26-8D5F-E1BC7322501F}"/>
    <hyperlink ref="F57" r:id="rId97" xr:uid="{EEAAC876-D23B-4676-9119-EF8C5DE4547D}"/>
    <hyperlink ref="F82" r:id="rId98" xr:uid="{85847710-CB1C-4C16-ACCF-EB6C942F4B95}"/>
    <hyperlink ref="F46" r:id="rId99" xr:uid="{95F615AE-E261-4A1F-B8E6-3D1C4EFA0AD3}"/>
    <hyperlink ref="F45" r:id="rId100" xr:uid="{1C90A774-2D1F-43DF-AA2F-97C99A141E26}"/>
    <hyperlink ref="F49" r:id="rId101" xr:uid="{0B5225AD-D864-492A-9CC0-94629BB57758}"/>
    <hyperlink ref="F109" r:id="rId102" xr:uid="{2BE6D16A-5574-4F61-8F8D-AAE469057800}"/>
    <hyperlink ref="F110" r:id="rId103" xr:uid="{701294D2-441B-49DD-A706-3AF1927A8353}"/>
    <hyperlink ref="F111" r:id="rId104" xr:uid="{FFAFA488-63A4-49CB-8B18-14017DCC3267}"/>
    <hyperlink ref="F112" r:id="rId105" xr:uid="{A152A032-EA83-4CA7-A65C-8E1FA910E4BD}"/>
    <hyperlink ref="F116" r:id="rId106" xr:uid="{A0EF0580-01BA-406A-A026-1063DDD74C71}"/>
    <hyperlink ref="F114" r:id="rId107" xr:uid="{C3F1BFD2-F35A-4294-AB80-4620F1F8A5AF}"/>
    <hyperlink ref="F115" r:id="rId108" xr:uid="{32747E56-F671-4E49-B33B-AE21D42FC126}"/>
    <hyperlink ref="F113" r:id="rId109" xr:uid="{DD1C4658-2F2A-4F29-8A9C-4835C4E9E0C1}"/>
    <hyperlink ref="F120" r:id="rId110" xr:uid="{1AC2808F-61EE-44D1-A59E-AA146C4C5412}"/>
    <hyperlink ref="F117" r:id="rId111" xr:uid="{6195D0FB-4954-4081-AC6B-8DC5F3CF09B3}"/>
    <hyperlink ref="F121" r:id="rId112" xr:uid="{587374B9-CC56-4836-932A-B5ED1697B1A3}"/>
    <hyperlink ref="F123" r:id="rId113" xr:uid="{92F4E290-7FE5-4F61-809C-549B7EAD1195}"/>
    <hyperlink ref="F122" r:id="rId114" xr:uid="{13609D86-6175-450F-BFB1-FA4AE1A92473}"/>
    <hyperlink ref="F124" r:id="rId115" xr:uid="{034BB596-ADEC-43DF-BDCE-DD9B9904ECED}"/>
    <hyperlink ref="F118" r:id="rId116" xr:uid="{CC3C1425-8F24-415A-9BA1-44A65B81614C}"/>
    <hyperlink ref="F119" r:id="rId117" xr:uid="{06A472AD-D073-42ED-A7A6-FB61CDEAB2CC}"/>
    <hyperlink ref="F133" r:id="rId118" xr:uid="{D5E9B980-179F-40A1-85C7-2FD601334F45}"/>
    <hyperlink ref="F132" r:id="rId119" xr:uid="{2D8DB297-57BC-4E13-9493-D3F06F9BA2D6}"/>
    <hyperlink ref="F127" r:id="rId120" xr:uid="{5A21A4E4-B41E-4631-A5B2-046955CCD932}"/>
    <hyperlink ref="F125" r:id="rId121" xr:uid="{C2307C74-E50C-4E15-AA61-2C5E672F1AB5}"/>
    <hyperlink ref="F128" r:id="rId122" xr:uid="{56A95E8D-A0AF-49C7-B5E9-AC1AA223B920}"/>
    <hyperlink ref="F131" r:id="rId123" xr:uid="{9D38400D-C7F6-4807-B98F-D32A4ECB25A7}"/>
    <hyperlink ref="F126" r:id="rId124" xr:uid="{7558A2C2-A5B0-4C39-9593-A3BE5CDC12F3}"/>
    <hyperlink ref="F129" r:id="rId125" xr:uid="{D749A97A-98D0-4415-A6CC-C098E665B463}"/>
    <hyperlink ref="F130" r:id="rId126" xr:uid="{BF756F96-A0BA-41A6-8407-67C7A3B31856}"/>
    <hyperlink ref="F135" r:id="rId127" xr:uid="{00E15842-D159-41BE-8C86-1E4619AFCF13}"/>
    <hyperlink ref="F134" r:id="rId128" xr:uid="{656CFD6B-047B-46BE-9C6D-B3575E0AA21F}"/>
    <hyperlink ref="F136" r:id="rId129" xr:uid="{4939710D-EDAE-4202-9A8B-8D965C0291FC}"/>
    <hyperlink ref="F137" r:id="rId130" xr:uid="{24FAC6BB-0A1A-486E-AC14-4F25A5128407}"/>
  </hyperlinks>
  <pageMargins left="0.7" right="0.7" top="0.75" bottom="0.75" header="0.3" footer="0.3"/>
  <pageSetup paperSize="9" orientation="portrait" horizontalDpi="4294967293" verticalDpi="0" r:id="rId131"/>
  <tableParts count="1">
    <tablePart r:id="rId13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5BF8-5A05-49F4-8917-7CDE7A57FAF1}">
  <dimension ref="B1:K1048501"/>
  <sheetViews>
    <sheetView showGridLines="0" topLeftCell="A17" zoomScale="50" zoomScaleNormal="50" workbookViewId="0">
      <selection activeCell="D42" sqref="D42"/>
    </sheetView>
  </sheetViews>
  <sheetFormatPr defaultRowHeight="14.5" x14ac:dyDescent="0.35"/>
  <cols>
    <col min="2" max="2" width="6.26953125" customWidth="1"/>
    <col min="3" max="3" width="59.54296875" style="6" bestFit="1" customWidth="1"/>
    <col min="4" max="4" width="19.08984375" style="7" customWidth="1"/>
    <col min="5" max="5" width="11.81640625" style="7" customWidth="1"/>
    <col min="6" max="6" width="19.7265625" bestFit="1" customWidth="1"/>
    <col min="7" max="7" width="62.81640625" bestFit="1" customWidth="1"/>
    <col min="8" max="8" width="13.6328125" style="7" customWidth="1"/>
    <col min="9" max="9" width="16" style="7" bestFit="1" customWidth="1"/>
    <col min="10" max="10" width="20.26953125" style="7" customWidth="1"/>
    <col min="11" max="11" width="14.7265625" bestFit="1" customWidth="1"/>
    <col min="12" max="12" width="10.26953125" bestFit="1" customWidth="1"/>
    <col min="13" max="13" width="9.453125" bestFit="1" customWidth="1"/>
    <col min="14" max="14" width="13.54296875" bestFit="1" customWidth="1"/>
    <col min="15" max="15" width="9.453125" bestFit="1" customWidth="1"/>
    <col min="16" max="16" width="49.1796875" bestFit="1" customWidth="1"/>
    <col min="17" max="17" width="76" bestFit="1" customWidth="1"/>
    <col min="18" max="18" width="7.7265625" customWidth="1"/>
  </cols>
  <sheetData>
    <row r="1" spans="2:10" ht="15" thickBot="1" x14ac:dyDescent="0.4"/>
    <row r="2" spans="2:10" ht="19" thickBot="1" x14ac:dyDescent="0.5">
      <c r="B2" s="108" t="s">
        <v>175</v>
      </c>
      <c r="C2" s="109"/>
      <c r="D2" s="109"/>
      <c r="E2" s="110"/>
      <c r="G2" s="108" t="s">
        <v>176</v>
      </c>
      <c r="H2" s="109"/>
      <c r="I2" s="109"/>
      <c r="J2" s="110"/>
    </row>
    <row r="4" spans="2:10" x14ac:dyDescent="0.35">
      <c r="B4" s="39" t="s">
        <v>28</v>
      </c>
      <c r="C4" s="39" t="s">
        <v>177</v>
      </c>
      <c r="D4" s="39" t="s">
        <v>178</v>
      </c>
      <c r="E4" s="40" t="s">
        <v>179</v>
      </c>
      <c r="G4" s="8" t="s">
        <v>180</v>
      </c>
      <c r="H4" s="9" t="s">
        <v>193</v>
      </c>
      <c r="I4" s="9" t="s">
        <v>179</v>
      </c>
      <c r="J4" s="10" t="s">
        <v>181</v>
      </c>
    </row>
    <row r="5" spans="2:10" x14ac:dyDescent="0.35">
      <c r="B5" s="11">
        <f>IF(Table12[[#Headers],[Nama Program]]="","",ROW(F1))</f>
        <v>1</v>
      </c>
      <c r="C5" s="14" t="str">
        <f>Table14[[#This Row],[PROGRAM PENDIDIKAN]]</f>
        <v>Pendidikan Formal PAUD KB CERIA</v>
      </c>
      <c r="D5" s="11">
        <f>Table14[[#This Row],[Pelaksanaan]]</f>
        <v>12</v>
      </c>
      <c r="E5" s="11">
        <f>Table14[[#This Row],[Jumlah PM]]</f>
        <v>39</v>
      </c>
      <c r="G5" s="12" t="s">
        <v>182</v>
      </c>
      <c r="H5" s="11">
        <v>12</v>
      </c>
      <c r="I5" s="11">
        <v>39</v>
      </c>
      <c r="J5" s="13">
        <v>1</v>
      </c>
    </row>
    <row r="6" spans="2:10" x14ac:dyDescent="0.35">
      <c r="B6" s="11">
        <f>IF(Table12[[#Headers],[Nama Program]]="","",ROW(F2))</f>
        <v>2</v>
      </c>
      <c r="C6" s="14" t="str">
        <f>Table14[[#This Row],[PROGRAM PENDIDIKAN]]</f>
        <v>Pendidikan Formal PAUD SPS</v>
      </c>
      <c r="D6" s="11">
        <f>Table14[[#This Row],[Pelaksanaan]]</f>
        <v>12</v>
      </c>
      <c r="E6" s="11">
        <f>Table14[[#This Row],[Jumlah PM]]</f>
        <v>24</v>
      </c>
      <c r="G6" s="12" t="s">
        <v>183</v>
      </c>
      <c r="H6" s="11">
        <v>12</v>
      </c>
      <c r="I6" s="11">
        <v>24</v>
      </c>
      <c r="J6" s="13">
        <v>1</v>
      </c>
    </row>
    <row r="7" spans="2:10" x14ac:dyDescent="0.35">
      <c r="B7" s="11">
        <f>IF(Table12[[#Headers],[Nama Program]]="","",ROW(F3))</f>
        <v>3</v>
      </c>
      <c r="C7" s="14" t="str">
        <f>Table14[[#This Row],[PROGRAM PENDIDIKAN]]</f>
        <v>Rumah Belajar Ceria</v>
      </c>
      <c r="D7" s="11">
        <f>Table14[[#This Row],[Pelaksanaan]]</f>
        <v>7</v>
      </c>
      <c r="E7" s="11">
        <f>Table14[[#This Row],[Jumlah PM]]</f>
        <v>317</v>
      </c>
      <c r="G7" s="12" t="s">
        <v>7</v>
      </c>
      <c r="H7" s="11">
        <f>COUNTIF(Table1[NAMA PROGRAM],Table14[[#This Row],[PROGRAM PENDIDIKAN]])</f>
        <v>7</v>
      </c>
      <c r="I7" s="11">
        <f>SUMIF(Table1[NAMA PROGRAM],Table14[[#This Row],[PROGRAM PENDIDIKAN]],Table1[JUMLAH PM])</f>
        <v>317</v>
      </c>
      <c r="J7" s="13">
        <v>1</v>
      </c>
    </row>
    <row r="8" spans="2:10" x14ac:dyDescent="0.35">
      <c r="B8" s="11">
        <f>IF(Table12[[#Headers],[Nama Program]]="","",ROW(F4))</f>
        <v>4</v>
      </c>
      <c r="C8" s="14" t="str">
        <f>Table14[[#This Row],[PROGRAM PENDIDIKAN]]</f>
        <v>Sekolah Pinggiran Sriwijaya</v>
      </c>
      <c r="D8" s="11">
        <f>Table14[[#This Row],[Pelaksanaan]]</f>
        <v>6</v>
      </c>
      <c r="E8" s="11">
        <f>Table14[[#This Row],[Jumlah PM]]</f>
        <v>381</v>
      </c>
      <c r="G8" s="12" t="s">
        <v>6</v>
      </c>
      <c r="H8" s="11">
        <f>COUNTIF(Table1[NAMA PROGRAM],Table14[[#This Row],[PROGRAM PENDIDIKAN]])</f>
        <v>6</v>
      </c>
      <c r="I8" s="11">
        <f>SUMIF(Table1[NAMA PROGRAM],Table14[[#This Row],[PROGRAM PENDIDIKAN]],Table1[JUMLAH PM])</f>
        <v>381</v>
      </c>
      <c r="J8" s="13">
        <v>1</v>
      </c>
    </row>
    <row r="9" spans="2:10" x14ac:dyDescent="0.35">
      <c r="B9" s="11">
        <f>IF(Table12[[#Headers],[Nama Program]]="","",ROW(F5))</f>
        <v>5</v>
      </c>
      <c r="C9" s="14" t="str">
        <f>Table14[[#This Row],[PROGRAM PENDIDIKAN]]</f>
        <v>Ruang Yakin Cerdas</v>
      </c>
      <c r="D9" s="11">
        <f>Table14[[#This Row],[Pelaksanaan]]</f>
        <v>5</v>
      </c>
      <c r="E9" s="11">
        <f>Table14[[#This Row],[Jumlah PM]]</f>
        <v>132</v>
      </c>
      <c r="G9" s="12" t="s">
        <v>3</v>
      </c>
      <c r="H9" s="11">
        <f>COUNTIF(Table1[NAMA PROGRAM],Table14[[#This Row],[PROGRAM PENDIDIKAN]])</f>
        <v>5</v>
      </c>
      <c r="I9" s="11">
        <f>SUMIF(Table1[NAMA PROGRAM],Table14[[#This Row],[PROGRAM PENDIDIKAN]],Table1[JUMLAH PM])</f>
        <v>132</v>
      </c>
      <c r="J9" s="13">
        <v>1</v>
      </c>
    </row>
    <row r="10" spans="2:10" x14ac:dyDescent="0.35">
      <c r="B10" s="11">
        <f>IF(Table12[[#Headers],[Nama Program]]="","",ROW(F6))</f>
        <v>6</v>
      </c>
      <c r="C10" s="14" t="str">
        <f>Table14[[#This Row],[PROGRAM PENDIDIKAN]]</f>
        <v>Cerita Kolong Langit</v>
      </c>
      <c r="D10" s="11">
        <f>Table14[[#This Row],[Pelaksanaan]]</f>
        <v>5</v>
      </c>
      <c r="E10" s="11">
        <f>Table14[[#This Row],[Jumlah PM]]</f>
        <v>443</v>
      </c>
      <c r="G10" s="12" t="s">
        <v>2</v>
      </c>
      <c r="H10" s="11">
        <f>COUNTIF(Table1[NAMA PROGRAM],Table14[[#This Row],[PROGRAM PENDIDIKAN]])</f>
        <v>5</v>
      </c>
      <c r="I10" s="11">
        <f>SUMIF(Table1[NAMA PROGRAM],Table14[[#This Row],[PROGRAM PENDIDIKAN]],Table1[JUMLAH PM])</f>
        <v>443</v>
      </c>
      <c r="J10" s="13">
        <v>1</v>
      </c>
    </row>
    <row r="11" spans="2:10" x14ac:dyDescent="0.35">
      <c r="B11" s="11">
        <f>IF(Table12[[#Headers],[Nama Program]]="","",ROW(F7))</f>
        <v>7</v>
      </c>
      <c r="C11" s="14" t="str">
        <f>Table14[[#This Row],[PROGRAM PENDIDIKAN]]</f>
        <v>Beasiswa Generasi Harapan Yatim Dhuafa</v>
      </c>
      <c r="D11" s="11">
        <f>Table14[[#This Row],[Pelaksanaan]]</f>
        <v>11</v>
      </c>
      <c r="E11" s="11">
        <f>Table14[[#This Row],[Jumlah PM]]</f>
        <v>11</v>
      </c>
      <c r="G11" s="12" t="s">
        <v>565</v>
      </c>
      <c r="H11" s="11">
        <v>11</v>
      </c>
      <c r="I11" s="11">
        <v>11</v>
      </c>
      <c r="J11" s="13">
        <v>11</v>
      </c>
    </row>
    <row r="12" spans="2:10" x14ac:dyDescent="0.35">
      <c r="B12" s="11">
        <f>IF(Table12[[#Headers],[Nama Program]]="","",ROW(F8))</f>
        <v>8</v>
      </c>
      <c r="C12" s="14" t="str">
        <f>Table14[[#This Row],[PROGRAM PENDIDIKAN]]</f>
        <v>Rumah Tafizh Al- Amal</v>
      </c>
      <c r="D12" s="11">
        <f>Table14[[#This Row],[Pelaksanaan]]</f>
        <v>12</v>
      </c>
      <c r="E12" s="11">
        <f>Table14[[#This Row],[Jumlah PM]]</f>
        <v>93</v>
      </c>
      <c r="G12" s="12" t="s">
        <v>184</v>
      </c>
      <c r="H12" s="11">
        <v>12</v>
      </c>
      <c r="I12" s="11">
        <v>93</v>
      </c>
      <c r="J12" s="13">
        <v>1</v>
      </c>
    </row>
    <row r="13" spans="2:10" ht="15.5" x14ac:dyDescent="0.35">
      <c r="B13" s="11">
        <f>IF(Table12[[#Headers],[Nama Program]]="","",ROW(F9))</f>
        <v>9</v>
      </c>
      <c r="C13" s="70" t="str">
        <f>G16</f>
        <v>Free Food Car</v>
      </c>
      <c r="D13" s="15">
        <f>H16</f>
        <v>13</v>
      </c>
      <c r="E13" s="15">
        <f>I16</f>
        <v>1492</v>
      </c>
      <c r="G13" s="32" t="s">
        <v>186</v>
      </c>
      <c r="H13" s="33">
        <f>SUM(H5:H12)</f>
        <v>70</v>
      </c>
      <c r="I13" s="33">
        <f>SUM(I5:I12)</f>
        <v>1440</v>
      </c>
      <c r="J13" s="34">
        <f>SUM(J5:J12)</f>
        <v>18</v>
      </c>
    </row>
    <row r="14" spans="2:10" x14ac:dyDescent="0.35">
      <c r="B14" s="11">
        <f>IF(Table12[[#Headers],[Nama Program]]="","",ROW(F10))</f>
        <v>10</v>
      </c>
      <c r="C14" s="70" t="str">
        <f>G17</f>
        <v>Beras Fidyah</v>
      </c>
      <c r="D14" s="15">
        <f t="shared" ref="D14:E14" si="0">H17</f>
        <v>3</v>
      </c>
      <c r="E14" s="15">
        <f t="shared" si="0"/>
        <v>1600</v>
      </c>
      <c r="G14" s="16"/>
      <c r="H14" s="17"/>
      <c r="I14" s="17"/>
    </row>
    <row r="15" spans="2:10" x14ac:dyDescent="0.35">
      <c r="B15" s="11">
        <f>IF(Table12[[#Headers],[Nama Program]]="","",ROW(F11))</f>
        <v>11</v>
      </c>
      <c r="C15" s="70" t="str">
        <f t="shared" ref="C15:E15" si="1">G18</f>
        <v>Beras untuk Yatim Dhufa</v>
      </c>
      <c r="D15" s="15">
        <f t="shared" si="1"/>
        <v>6</v>
      </c>
      <c r="E15" s="15">
        <f t="shared" si="1"/>
        <v>2040</v>
      </c>
      <c r="G15" s="8" t="s">
        <v>188</v>
      </c>
      <c r="H15" s="9" t="s">
        <v>193</v>
      </c>
      <c r="I15" s="9" t="s">
        <v>179</v>
      </c>
      <c r="J15" s="18" t="s">
        <v>181</v>
      </c>
    </row>
    <row r="16" spans="2:10" x14ac:dyDescent="0.35">
      <c r="B16" s="11">
        <f>IF(Table12[[#Headers],[Nama Program]]="","",ROW(F12))</f>
        <v>12</v>
      </c>
      <c r="C16" s="70" t="str">
        <f t="shared" ref="C16:E16" si="2">G19</f>
        <v>Snack Ceria</v>
      </c>
      <c r="D16" s="15">
        <f t="shared" si="2"/>
        <v>30</v>
      </c>
      <c r="E16" s="15">
        <f t="shared" si="2"/>
        <v>4385</v>
      </c>
      <c r="G16" s="19" t="s">
        <v>185</v>
      </c>
      <c r="H16" s="15">
        <v>13</v>
      </c>
      <c r="I16" s="11">
        <v>1492</v>
      </c>
      <c r="J16" s="13">
        <v>10</v>
      </c>
    </row>
    <row r="17" spans="2:10" x14ac:dyDescent="0.35">
      <c r="B17" s="11">
        <f>IF(Table12[[#Headers],[Nama Program]]="","",ROW(F13))</f>
        <v>13</v>
      </c>
      <c r="C17" s="70" t="str">
        <f t="shared" ref="C17:E18" si="3">G20</f>
        <v>Hadiah Sembako Sambut Ramadhan</v>
      </c>
      <c r="D17" s="15">
        <f t="shared" si="3"/>
        <v>189</v>
      </c>
      <c r="E17" s="15">
        <f t="shared" si="3"/>
        <v>756</v>
      </c>
      <c r="G17" s="19" t="s">
        <v>444</v>
      </c>
      <c r="H17" s="15">
        <v>3</v>
      </c>
      <c r="I17" s="11">
        <v>1600</v>
      </c>
      <c r="J17" s="13">
        <v>3</v>
      </c>
    </row>
    <row r="18" spans="2:10" x14ac:dyDescent="0.35">
      <c r="B18" s="11">
        <f>IF(Table12[[#Headers],[Nama Program]]="","",ROW(F14))</f>
        <v>14</v>
      </c>
      <c r="C18" s="70" t="str">
        <f>G21</f>
        <v>Berbagi Takjil</v>
      </c>
      <c r="D18" s="15">
        <f t="shared" si="3"/>
        <v>3</v>
      </c>
      <c r="E18" s="15">
        <f t="shared" si="3"/>
        <v>210</v>
      </c>
      <c r="G18" s="19" t="s">
        <v>187</v>
      </c>
      <c r="H18" s="15">
        <v>6</v>
      </c>
      <c r="I18" s="11">
        <v>2040</v>
      </c>
      <c r="J18" s="13">
        <v>6</v>
      </c>
    </row>
    <row r="19" spans="2:10" x14ac:dyDescent="0.35">
      <c r="B19" s="11">
        <f>IF(Table12[[#Headers],[Nama Program]]="","",ROW(F15))</f>
        <v>15</v>
      </c>
      <c r="C19" s="70" t="str">
        <f>G22</f>
        <v>Berbagi Sahur</v>
      </c>
      <c r="D19" s="15">
        <f>H22</f>
        <v>5</v>
      </c>
      <c r="E19" s="15">
        <f>I22</f>
        <v>293</v>
      </c>
      <c r="G19" s="19" t="s">
        <v>9</v>
      </c>
      <c r="H19" s="15">
        <f>COUNTIF(Table1[NAMA PROGRAM],Table25[[#This Row],[PROGRAM PANGAN]])</f>
        <v>30</v>
      </c>
      <c r="I19" s="96">
        <v>4385</v>
      </c>
      <c r="J19" s="13">
        <v>19</v>
      </c>
    </row>
    <row r="20" spans="2:10" x14ac:dyDescent="0.35">
      <c r="B20" s="11">
        <f>IF(Table12[[#Headers],[Nama Program]]="","",ROW(F16))</f>
        <v>16</v>
      </c>
      <c r="C20" s="70" t="str">
        <f t="shared" ref="C20:E20" si="4">G23</f>
        <v>Rice Box</v>
      </c>
      <c r="D20" s="15">
        <f t="shared" si="4"/>
        <v>10</v>
      </c>
      <c r="E20" s="15">
        <f t="shared" si="4"/>
        <v>1925</v>
      </c>
      <c r="G20" s="19" t="s">
        <v>564</v>
      </c>
      <c r="H20" s="15">
        <v>189</v>
      </c>
      <c r="I20" s="11">
        <v>756</v>
      </c>
      <c r="J20" s="13">
        <v>189</v>
      </c>
    </row>
    <row r="21" spans="2:10" x14ac:dyDescent="0.35">
      <c r="B21" s="11">
        <f>IF(Table12[[#Headers],[Nama Program]]="","",ROW(F17))</f>
        <v>17</v>
      </c>
      <c r="C21" s="70" t="str">
        <f>Table3[[PROGRAM PEMBERDAYAAN ]]</f>
        <v>Program Pemberdayaan Pembuatan Keset Kaki</v>
      </c>
      <c r="D21" s="15">
        <f>Table3[Pelaksanaan]</f>
        <v>3</v>
      </c>
      <c r="E21" s="15">
        <f>Table3[Jumlah PM]</f>
        <v>17</v>
      </c>
      <c r="G21" s="19" t="s">
        <v>462</v>
      </c>
      <c r="H21" s="15">
        <v>3</v>
      </c>
      <c r="I21" s="11">
        <v>210</v>
      </c>
      <c r="J21" s="13">
        <v>3</v>
      </c>
    </row>
    <row r="22" spans="2:10" x14ac:dyDescent="0.35">
      <c r="B22" s="11">
        <f>IF(Table12[[#Headers],[Nama Program]]="","",ROW(F18))</f>
        <v>18</v>
      </c>
      <c r="C22" s="70" t="str">
        <f>G30</f>
        <v>Belanja Santri</v>
      </c>
      <c r="D22" s="15">
        <f t="shared" ref="D22:E22" si="5">H30</f>
        <v>1</v>
      </c>
      <c r="E22" s="15">
        <f t="shared" si="5"/>
        <v>75</v>
      </c>
      <c r="G22" s="19" t="s">
        <v>454</v>
      </c>
      <c r="H22" s="15">
        <v>5</v>
      </c>
      <c r="I22" s="11">
        <v>293</v>
      </c>
      <c r="J22" s="13">
        <v>5</v>
      </c>
    </row>
    <row r="23" spans="2:10" x14ac:dyDescent="0.35">
      <c r="B23" s="11">
        <f>IF(Table12[[#Headers],[Nama Program]]="","",ROW(F19))</f>
        <v>19</v>
      </c>
      <c r="C23" s="70" t="str">
        <f>G31</f>
        <v>Gathering Relawan</v>
      </c>
      <c r="D23" s="15">
        <f t="shared" ref="D23:E23" si="6">H31</f>
        <v>1</v>
      </c>
      <c r="E23" s="15">
        <f t="shared" si="6"/>
        <v>100</v>
      </c>
      <c r="G23" s="19" t="s">
        <v>240</v>
      </c>
      <c r="H23" s="15">
        <v>10</v>
      </c>
      <c r="I23" s="11">
        <v>1925</v>
      </c>
      <c r="J23" s="13">
        <v>6</v>
      </c>
    </row>
    <row r="24" spans="2:10" ht="15.5" x14ac:dyDescent="0.35">
      <c r="B24" s="11">
        <f>IF(Table12[[#Headers],[Nama Program]]="","",ROW(F20))</f>
        <v>20</v>
      </c>
      <c r="C24" s="71" t="str">
        <f>G32</f>
        <v>Pesantren Ramadhan</v>
      </c>
      <c r="D24" s="31">
        <f>H32</f>
        <v>3</v>
      </c>
      <c r="E24" s="31">
        <f>I32</f>
        <v>1150</v>
      </c>
      <c r="G24" s="32" t="s">
        <v>186</v>
      </c>
      <c r="H24" s="35">
        <f>SUM(H16:H23)</f>
        <v>259</v>
      </c>
      <c r="I24" s="35">
        <f>SUM(I16:I23)</f>
        <v>12701</v>
      </c>
      <c r="J24" s="36">
        <f>SUM(J16:J23)</f>
        <v>241</v>
      </c>
    </row>
    <row r="25" spans="2:10" x14ac:dyDescent="0.35">
      <c r="B25" s="11">
        <f>IF(Table12[[#Headers],[Nama Program]]="","",ROW(F21))</f>
        <v>21</v>
      </c>
      <c r="C25" s="41" t="str">
        <f>G36</f>
        <v>Bantuan Air Bersih</v>
      </c>
      <c r="D25" s="44">
        <f>H36</f>
        <v>5</v>
      </c>
      <c r="E25" s="44">
        <f>I36</f>
        <v>5000</v>
      </c>
    </row>
    <row r="26" spans="2:10" x14ac:dyDescent="0.35">
      <c r="B26" s="11">
        <f>IF(Table12[[#Headers],[Nama Program]]="","",ROW(F22))</f>
        <v>22</v>
      </c>
      <c r="C26" s="72" t="str">
        <f t="shared" ref="C26:E26" si="7">G40</f>
        <v>Bantuan Masker</v>
      </c>
      <c r="D26" s="54">
        <f t="shared" si="7"/>
        <v>1</v>
      </c>
      <c r="E26" s="54">
        <f t="shared" si="7"/>
        <v>50</v>
      </c>
      <c r="G26" s="20" t="s">
        <v>190</v>
      </c>
      <c r="H26" s="9" t="s">
        <v>193</v>
      </c>
      <c r="I26" s="9" t="s">
        <v>179</v>
      </c>
      <c r="J26" s="18" t="s">
        <v>181</v>
      </c>
    </row>
    <row r="27" spans="2:10" x14ac:dyDescent="0.35">
      <c r="B27" s="11">
        <f>IF(Table12[[#Headers],[Nama Program]]="","",ROW(F23))</f>
        <v>23</v>
      </c>
      <c r="C27" s="72" t="str">
        <f t="shared" ref="C27:E27" si="8">G44</f>
        <v>Bantuan Logistik Sembako</v>
      </c>
      <c r="D27" s="54">
        <f t="shared" si="8"/>
        <v>1</v>
      </c>
      <c r="E27" s="54">
        <f t="shared" si="8"/>
        <v>50</v>
      </c>
      <c r="G27" s="21" t="s">
        <v>191</v>
      </c>
      <c r="H27" s="22">
        <v>3</v>
      </c>
      <c r="I27" s="22">
        <v>17</v>
      </c>
      <c r="J27" s="23">
        <v>1</v>
      </c>
    </row>
    <row r="28" spans="2:10" x14ac:dyDescent="0.35">
      <c r="B28" s="11">
        <f>IF(Table12[[#Headers],[Nama Program]]="","",ROW(F24))</f>
        <v>24</v>
      </c>
      <c r="C28" s="72" t="str">
        <f>G48</f>
        <v>Bantuan Pembangunan Sumur Bor</v>
      </c>
      <c r="D28" s="54">
        <f>H48</f>
        <v>1</v>
      </c>
      <c r="E28" s="54">
        <f>I48</f>
        <v>500</v>
      </c>
      <c r="H28" s="24"/>
      <c r="I28" s="24"/>
    </row>
    <row r="29" spans="2:10" x14ac:dyDescent="0.35">
      <c r="B29" s="11">
        <f>IF(Table12[[#Headers],[Nama Program]]="","",ROW(F25))</f>
        <v>25</v>
      </c>
      <c r="C29" s="72" t="str">
        <f t="shared" ref="C29:E29" si="9">G49</f>
        <v>Bantuan Pengajaran Agama</v>
      </c>
      <c r="D29" s="54">
        <f t="shared" si="9"/>
        <v>7</v>
      </c>
      <c r="E29" s="54">
        <f t="shared" si="9"/>
        <v>303</v>
      </c>
      <c r="G29" s="20" t="s">
        <v>192</v>
      </c>
      <c r="H29" s="9" t="s">
        <v>193</v>
      </c>
      <c r="I29" s="9" t="s">
        <v>179</v>
      </c>
      <c r="J29" s="18" t="s">
        <v>181</v>
      </c>
    </row>
    <row r="30" spans="2:10" x14ac:dyDescent="0.35">
      <c r="B30" s="11">
        <f>IF(Table12[[#Headers],[Nama Program]]="","",ROW(F26))</f>
        <v>26</v>
      </c>
      <c r="C30" s="72" t="str">
        <f t="shared" ref="C30:E30" si="10">G50</f>
        <v>Bantuan Perlengkapan Sekolah</v>
      </c>
      <c r="D30" s="54">
        <f t="shared" si="10"/>
        <v>2</v>
      </c>
      <c r="E30" s="54">
        <f t="shared" si="10"/>
        <v>63</v>
      </c>
      <c r="G30" s="77" t="s">
        <v>548</v>
      </c>
      <c r="H30" s="78">
        <v>1</v>
      </c>
      <c r="I30" s="78">
        <v>75</v>
      </c>
      <c r="J30" s="79">
        <v>1</v>
      </c>
    </row>
    <row r="31" spans="2:10" x14ac:dyDescent="0.35">
      <c r="B31" s="11">
        <f>IF(Table12[[#Headers],[Nama Program]]="","",ROW(F27))</f>
        <v>27</v>
      </c>
      <c r="C31" s="72" t="str">
        <f t="shared" ref="C31:E31" si="11">G51</f>
        <v>Penyaluran PLP</v>
      </c>
      <c r="D31" s="54">
        <f t="shared" si="11"/>
        <v>1</v>
      </c>
      <c r="E31" s="54">
        <f t="shared" si="11"/>
        <v>50</v>
      </c>
      <c r="G31" s="77" t="s">
        <v>443</v>
      </c>
      <c r="H31" s="78">
        <v>1</v>
      </c>
      <c r="I31" s="78">
        <v>100</v>
      </c>
      <c r="J31" s="79">
        <v>1</v>
      </c>
    </row>
    <row r="32" spans="2:10" x14ac:dyDescent="0.35">
      <c r="B32" s="11">
        <f>IF(Table12[[#Headers],[Nama Program]]="","",ROW(F28))</f>
        <v>28</v>
      </c>
      <c r="C32" s="72" t="str">
        <f>G55</f>
        <v>Distribusi Al-Qur'an</v>
      </c>
      <c r="D32" s="54">
        <f>H55</f>
        <v>2</v>
      </c>
      <c r="E32" s="54">
        <f>I55</f>
        <v>65</v>
      </c>
      <c r="G32" s="25" t="s">
        <v>532</v>
      </c>
      <c r="H32" s="31">
        <v>3</v>
      </c>
      <c r="I32" s="31">
        <v>1150</v>
      </c>
      <c r="J32" s="13">
        <v>3</v>
      </c>
    </row>
    <row r="33" spans="2:11" ht="15.5" x14ac:dyDescent="0.35">
      <c r="B33" s="11">
        <f>IF(Table12[[#Headers],[Nama Program]]="","",ROW(F29))</f>
        <v>29</v>
      </c>
      <c r="C33" s="72" t="str">
        <f t="shared" ref="C33:E33" si="12">G56</f>
        <v>Masjid Clean Up &amp; Air Mineral Masjid</v>
      </c>
      <c r="D33" s="54">
        <f t="shared" si="12"/>
        <v>4</v>
      </c>
      <c r="E33" s="54">
        <f t="shared" si="12"/>
        <v>600</v>
      </c>
      <c r="G33" s="37" t="s">
        <v>186</v>
      </c>
      <c r="H33" s="38">
        <f t="shared" ref="H33" si="13">SUM(H30:H32)</f>
        <v>5</v>
      </c>
      <c r="I33" s="38">
        <f t="shared" ref="I33" si="14">SUM(I30:I32)</f>
        <v>1325</v>
      </c>
      <c r="J33" s="38">
        <f t="shared" ref="J33" si="15">SUM(J30:J32)</f>
        <v>5</v>
      </c>
    </row>
    <row r="34" spans="2:11" x14ac:dyDescent="0.35">
      <c r="G34" s="3"/>
      <c r="H34" s="27"/>
      <c r="I34" s="27"/>
      <c r="J34" s="27"/>
      <c r="K34" s="26"/>
    </row>
    <row r="35" spans="2:11" x14ac:dyDescent="0.35">
      <c r="G35" s="28" t="s">
        <v>566</v>
      </c>
      <c r="H35" s="29" t="s">
        <v>193</v>
      </c>
      <c r="I35" s="29" t="s">
        <v>179</v>
      </c>
      <c r="J35" s="10" t="s">
        <v>181</v>
      </c>
      <c r="K35" s="26"/>
    </row>
    <row r="36" spans="2:11" ht="21" x14ac:dyDescent="0.5">
      <c r="B36" s="111" t="s">
        <v>189</v>
      </c>
      <c r="C36" s="112"/>
      <c r="D36" s="46">
        <f>SUM(D5:D33)</f>
        <v>361</v>
      </c>
      <c r="E36" s="46">
        <f>SUM(E5:E33)</f>
        <v>22164</v>
      </c>
      <c r="G36" s="41" t="s">
        <v>296</v>
      </c>
      <c r="H36" s="44">
        <v>5</v>
      </c>
      <c r="I36" s="44">
        <v>5000</v>
      </c>
      <c r="J36" s="44">
        <v>3</v>
      </c>
      <c r="K36" s="26"/>
    </row>
    <row r="37" spans="2:11" ht="15.5" x14ac:dyDescent="0.35">
      <c r="G37" s="45" t="s">
        <v>186</v>
      </c>
      <c r="H37" s="43">
        <f>SUM(H36:H36)</f>
        <v>5</v>
      </c>
      <c r="I37" s="43">
        <f>SUM(I36:I36)</f>
        <v>5000</v>
      </c>
      <c r="J37" s="43">
        <f>SUM(J36:J36)</f>
        <v>3</v>
      </c>
    </row>
    <row r="39" spans="2:11" x14ac:dyDescent="0.35">
      <c r="G39" s="28" t="s">
        <v>332</v>
      </c>
      <c r="H39" s="29" t="s">
        <v>193</v>
      </c>
      <c r="I39" s="29" t="s">
        <v>179</v>
      </c>
      <c r="J39" s="10" t="s">
        <v>181</v>
      </c>
    </row>
    <row r="40" spans="2:11" x14ac:dyDescent="0.35">
      <c r="G40" s="53" t="s">
        <v>350</v>
      </c>
      <c r="H40" s="54">
        <v>1</v>
      </c>
      <c r="I40" s="54">
        <v>50</v>
      </c>
      <c r="J40" s="55">
        <v>1</v>
      </c>
    </row>
    <row r="41" spans="2:11" ht="15.5" x14ac:dyDescent="0.35">
      <c r="G41" s="45" t="s">
        <v>186</v>
      </c>
      <c r="H41" s="43">
        <f>SUM(H40:H40)</f>
        <v>1</v>
      </c>
      <c r="I41" s="43">
        <f>SUM(I40:I40)</f>
        <v>50</v>
      </c>
      <c r="J41" s="43">
        <f>SUM(J40:J40)</f>
        <v>1</v>
      </c>
    </row>
    <row r="43" spans="2:11" x14ac:dyDescent="0.35">
      <c r="G43" s="28" t="s">
        <v>333</v>
      </c>
      <c r="H43" s="29" t="s">
        <v>193</v>
      </c>
      <c r="I43" s="29" t="s">
        <v>179</v>
      </c>
      <c r="J43" s="10" t="s">
        <v>181</v>
      </c>
    </row>
    <row r="44" spans="2:11" x14ac:dyDescent="0.35">
      <c r="G44" s="53" t="s">
        <v>319</v>
      </c>
      <c r="H44" s="54">
        <v>1</v>
      </c>
      <c r="I44" s="54">
        <v>50</v>
      </c>
      <c r="J44" s="55">
        <v>1</v>
      </c>
    </row>
    <row r="45" spans="2:11" ht="15.5" x14ac:dyDescent="0.35">
      <c r="G45" s="45" t="s">
        <v>186</v>
      </c>
      <c r="H45" s="43">
        <f>SUM(H44:H44)</f>
        <v>1</v>
      </c>
      <c r="I45" s="43">
        <f>SUM(I44:I44)</f>
        <v>50</v>
      </c>
      <c r="J45" s="43">
        <f>SUM(J44:J44)</f>
        <v>1</v>
      </c>
    </row>
    <row r="47" spans="2:11" x14ac:dyDescent="0.35">
      <c r="G47" s="28" t="s">
        <v>339</v>
      </c>
      <c r="H47" s="29" t="s">
        <v>193</v>
      </c>
      <c r="I47" s="29" t="s">
        <v>179</v>
      </c>
      <c r="J47" s="10" t="s">
        <v>181</v>
      </c>
    </row>
    <row r="48" spans="2:11" x14ac:dyDescent="0.35">
      <c r="G48" s="53" t="s">
        <v>369</v>
      </c>
      <c r="H48" s="54">
        <v>1</v>
      </c>
      <c r="I48" s="54">
        <v>500</v>
      </c>
      <c r="J48" s="55">
        <v>1</v>
      </c>
    </row>
    <row r="49" spans="7:10" x14ac:dyDescent="0.35">
      <c r="G49" s="53" t="s">
        <v>390</v>
      </c>
      <c r="H49" s="54">
        <v>7</v>
      </c>
      <c r="I49" s="54">
        <v>303</v>
      </c>
      <c r="J49" s="55">
        <v>1</v>
      </c>
    </row>
    <row r="50" spans="7:10" x14ac:dyDescent="0.35">
      <c r="G50" s="53" t="s">
        <v>255</v>
      </c>
      <c r="H50" s="54">
        <v>2</v>
      </c>
      <c r="I50" s="54">
        <v>63</v>
      </c>
      <c r="J50" s="55">
        <v>2</v>
      </c>
    </row>
    <row r="51" spans="7:10" x14ac:dyDescent="0.35">
      <c r="G51" s="2" t="s">
        <v>169</v>
      </c>
      <c r="H51" s="54">
        <v>1</v>
      </c>
      <c r="I51" s="54">
        <v>50</v>
      </c>
      <c r="J51" s="55">
        <v>1</v>
      </c>
    </row>
    <row r="52" spans="7:10" ht="15.5" x14ac:dyDescent="0.35">
      <c r="G52" s="45" t="s">
        <v>186</v>
      </c>
      <c r="H52" s="43">
        <f>SUM(H48:H51)</f>
        <v>11</v>
      </c>
      <c r="I52" s="43">
        <f>SUM(I48:I51)</f>
        <v>916</v>
      </c>
      <c r="J52" s="43">
        <f>SUM(J48:J51)</f>
        <v>5</v>
      </c>
    </row>
    <row r="54" spans="7:10" x14ac:dyDescent="0.35">
      <c r="G54" s="28" t="s">
        <v>567</v>
      </c>
      <c r="H54" s="29" t="s">
        <v>193</v>
      </c>
      <c r="I54" s="29" t="s">
        <v>179</v>
      </c>
      <c r="J54" s="10" t="s">
        <v>181</v>
      </c>
    </row>
    <row r="55" spans="7:10" x14ac:dyDescent="0.35">
      <c r="G55" s="53" t="s">
        <v>19</v>
      </c>
      <c r="H55" s="54">
        <v>2</v>
      </c>
      <c r="I55" s="54">
        <v>65</v>
      </c>
      <c r="J55" s="55">
        <v>2</v>
      </c>
    </row>
    <row r="56" spans="7:10" x14ac:dyDescent="0.35">
      <c r="G56" s="53" t="s">
        <v>464</v>
      </c>
      <c r="H56" s="54">
        <v>4</v>
      </c>
      <c r="I56" s="54">
        <v>600</v>
      </c>
      <c r="J56" s="55">
        <v>4</v>
      </c>
    </row>
    <row r="57" spans="7:10" ht="15.5" x14ac:dyDescent="0.35">
      <c r="G57" s="45" t="s">
        <v>186</v>
      </c>
      <c r="H57" s="43">
        <f>SUM(H55:H56)</f>
        <v>6</v>
      </c>
      <c r="I57" s="43">
        <f>SUM(I55:I56)</f>
        <v>665</v>
      </c>
      <c r="J57" s="43">
        <f>SUM(J55:J56)</f>
        <v>6</v>
      </c>
    </row>
    <row r="60" spans="7:10" ht="18.5" x14ac:dyDescent="0.45">
      <c r="G60" s="30" t="s">
        <v>189</v>
      </c>
      <c r="H60" s="30">
        <f>H27+H13+H24+H33+H37+H41+H45+H52+H57</f>
        <v>361</v>
      </c>
      <c r="I60" s="30">
        <f t="shared" ref="I60:J60" si="16">I27+I13+I24+I33+I37+I41+I45+I52+I57</f>
        <v>22164</v>
      </c>
      <c r="J60" s="30">
        <f t="shared" si="16"/>
        <v>281</v>
      </c>
    </row>
    <row r="1048501" spans="3:3" x14ac:dyDescent="0.35">
      <c r="C1048501" s="14" t="s">
        <v>194</v>
      </c>
    </row>
  </sheetData>
  <mergeCells count="3">
    <mergeCell ref="B2:E2"/>
    <mergeCell ref="G2:J2"/>
    <mergeCell ref="B36:C36"/>
  </mergeCells>
  <pageMargins left="0.7" right="0.7" top="0.75" bottom="0.75" header="0.3" footer="0.3"/>
  <ignoredErrors>
    <ignoredError sqref="H30:H32" calculatedColumn="1"/>
  </ignoredErrors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8314-68F1-46D2-8424-7A44F14D6B79}">
  <dimension ref="B1:T1048507"/>
  <sheetViews>
    <sheetView topLeftCell="A45" zoomScale="50" zoomScaleNormal="50" workbookViewId="0">
      <selection activeCell="H44" sqref="H44"/>
    </sheetView>
  </sheetViews>
  <sheetFormatPr defaultRowHeight="14.5" x14ac:dyDescent="0.35"/>
  <cols>
    <col min="2" max="2" width="5.1796875" customWidth="1"/>
    <col min="3" max="3" width="72.81640625" style="6" customWidth="1"/>
    <col min="4" max="4" width="18.81640625" style="7" customWidth="1"/>
    <col min="5" max="5" width="18.6328125" style="7" bestFit="1" customWidth="1"/>
    <col min="6" max="6" width="10.90625" customWidth="1"/>
    <col min="7" max="7" width="8.81640625" style="7" customWidth="1"/>
    <col min="8" max="8" width="72.81640625" style="7" bestFit="1" customWidth="1"/>
    <col min="9" max="9" width="22.90625" style="7" customWidth="1"/>
    <col min="10" max="10" width="18.54296875" customWidth="1"/>
    <col min="11" max="11" width="7.7265625" customWidth="1"/>
    <col min="12" max="12" width="11.1796875" customWidth="1"/>
    <col min="13" max="13" width="70.26953125" customWidth="1"/>
    <col min="14" max="14" width="22.81640625" customWidth="1"/>
    <col min="15" max="15" width="15.54296875" customWidth="1"/>
    <col min="16" max="16" width="7" customWidth="1"/>
    <col min="17" max="17" width="8.6328125" customWidth="1"/>
    <col min="18" max="18" width="72.81640625" bestFit="1" customWidth="1"/>
    <col min="19" max="19" width="17" customWidth="1"/>
    <col min="20" max="20" width="16.81640625" customWidth="1"/>
    <col min="21" max="24" width="47.54296875" customWidth="1"/>
  </cols>
  <sheetData>
    <row r="1" spans="2:20" ht="15" thickBot="1" x14ac:dyDescent="0.4"/>
    <row r="2" spans="2:20" ht="26.5" thickBot="1" x14ac:dyDescent="0.65">
      <c r="B2" s="113" t="s">
        <v>342</v>
      </c>
      <c r="C2" s="114"/>
      <c r="D2" s="114"/>
      <c r="E2" s="115"/>
      <c r="G2" s="113" t="s">
        <v>343</v>
      </c>
      <c r="H2" s="114"/>
      <c r="I2" s="114"/>
      <c r="J2" s="115"/>
      <c r="L2" s="113" t="s">
        <v>345</v>
      </c>
      <c r="M2" s="114"/>
      <c r="N2" s="114"/>
      <c r="O2" s="115"/>
      <c r="Q2" s="113" t="s">
        <v>348</v>
      </c>
      <c r="R2" s="114"/>
      <c r="S2" s="114"/>
      <c r="T2" s="115"/>
    </row>
    <row r="3" spans="2:20" x14ac:dyDescent="0.35">
      <c r="G3"/>
      <c r="H3" s="6"/>
      <c r="J3" s="7"/>
      <c r="M3" s="6"/>
      <c r="N3" s="7"/>
      <c r="O3" s="7"/>
      <c r="R3" s="6"/>
      <c r="S3" s="7"/>
      <c r="T3" s="7"/>
    </row>
    <row r="4" spans="2:20" ht="29" x14ac:dyDescent="0.35">
      <c r="B4" s="39" t="s">
        <v>28</v>
      </c>
      <c r="C4" s="39" t="s">
        <v>177</v>
      </c>
      <c r="D4" s="68" t="s">
        <v>178</v>
      </c>
      <c r="E4" s="69" t="s">
        <v>179</v>
      </c>
      <c r="G4" s="39" t="s">
        <v>28</v>
      </c>
      <c r="H4" s="39" t="s">
        <v>177</v>
      </c>
      <c r="I4" s="39" t="s">
        <v>178</v>
      </c>
      <c r="J4" s="40" t="s">
        <v>179</v>
      </c>
      <c r="L4" s="39" t="s">
        <v>28</v>
      </c>
      <c r="M4" s="39" t="s">
        <v>177</v>
      </c>
      <c r="N4" s="39" t="s">
        <v>178</v>
      </c>
      <c r="O4" s="40" t="s">
        <v>179</v>
      </c>
      <c r="Q4" s="39" t="s">
        <v>28</v>
      </c>
      <c r="R4" s="39" t="s">
        <v>177</v>
      </c>
      <c r="S4" s="39" t="s">
        <v>178</v>
      </c>
      <c r="T4" s="40" t="s">
        <v>179</v>
      </c>
    </row>
    <row r="5" spans="2:20" x14ac:dyDescent="0.35">
      <c r="B5" s="11">
        <f>IF(Table122410[[#Headers],[Nama Program]]="","",ROW(F1))</f>
        <v>1</v>
      </c>
      <c r="C5" s="41" t="s">
        <v>296</v>
      </c>
      <c r="D5" s="44">
        <v>2</v>
      </c>
      <c r="E5" s="44">
        <v>2400</v>
      </c>
      <c r="G5" s="11">
        <f>IF(Table12243046[[#Headers],[Nama Program]]="","",ROW(K1))</f>
        <v>1</v>
      </c>
      <c r="H5" s="53" t="s">
        <v>271</v>
      </c>
      <c r="I5" s="54">
        <v>2</v>
      </c>
      <c r="J5" s="54">
        <v>130</v>
      </c>
      <c r="L5" s="11">
        <f>IF(Table12241951[[#Headers],[Nama Program]]="","",ROW(P1))</f>
        <v>1</v>
      </c>
      <c r="M5" s="41" t="s">
        <v>296</v>
      </c>
      <c r="N5" s="44">
        <v>5</v>
      </c>
      <c r="O5" s="44">
        <v>6000</v>
      </c>
      <c r="Q5" s="11">
        <f>IF(Table12243657[[#Headers],[Nama Program]]="","",ROW(U1))</f>
        <v>1</v>
      </c>
      <c r="R5" s="53" t="s">
        <v>350</v>
      </c>
      <c r="S5" s="54">
        <v>1</v>
      </c>
      <c r="T5" s="54">
        <v>850</v>
      </c>
    </row>
    <row r="6" spans="2:20" x14ac:dyDescent="0.35">
      <c r="B6" s="11">
        <f>IF(Table122410[[#Headers],[Nama Program]]="","",ROW(F2))</f>
        <v>2</v>
      </c>
      <c r="C6" s="41" t="s">
        <v>397</v>
      </c>
      <c r="D6" s="44">
        <v>5</v>
      </c>
      <c r="E6" s="44">
        <v>2016</v>
      </c>
      <c r="G6" s="11">
        <f>IF(Table12243046[[#Headers],[Nama Program]]="","",ROW(K2))</f>
        <v>2</v>
      </c>
      <c r="H6" s="2" t="s">
        <v>334</v>
      </c>
      <c r="I6" s="44">
        <v>5</v>
      </c>
      <c r="J6" s="44">
        <v>1100</v>
      </c>
      <c r="L6" s="11">
        <f>IF(Table12241951[[#Headers],[Nama Program]]="","",ROW(P2))</f>
        <v>2</v>
      </c>
      <c r="M6" s="53" t="s">
        <v>271</v>
      </c>
      <c r="N6" s="54">
        <v>9</v>
      </c>
      <c r="O6" s="54">
        <v>601</v>
      </c>
      <c r="Q6" s="11">
        <f>IF(Table12243657[[#Headers],[Nama Program]]="","",ROW(U2))</f>
        <v>2</v>
      </c>
      <c r="R6" s="2" t="s">
        <v>334</v>
      </c>
      <c r="S6" s="44">
        <v>2</v>
      </c>
      <c r="T6" s="44">
        <v>220</v>
      </c>
    </row>
    <row r="7" spans="2:20" x14ac:dyDescent="0.35">
      <c r="B7" s="11">
        <f>IF(Table122410[[#Headers],[Nama Program]]="","",ROW(F3))</f>
        <v>3</v>
      </c>
      <c r="C7" s="53" t="s">
        <v>271</v>
      </c>
      <c r="D7" s="54">
        <v>12</v>
      </c>
      <c r="E7" s="54">
        <v>759</v>
      </c>
      <c r="G7" s="11">
        <f>IF(Table12243046[[#Headers],[Nama Program]]="","",ROW(K3))</f>
        <v>3</v>
      </c>
      <c r="H7" s="53" t="s">
        <v>335</v>
      </c>
      <c r="I7" s="54">
        <v>4</v>
      </c>
      <c r="J7" s="54">
        <v>720</v>
      </c>
      <c r="L7" s="11">
        <f>IF(Table12241951[[#Headers],[Nama Program]]="","",ROW(P3))</f>
        <v>3</v>
      </c>
      <c r="M7" s="2" t="s">
        <v>289</v>
      </c>
      <c r="N7" s="44">
        <v>1</v>
      </c>
      <c r="O7" s="44">
        <v>147</v>
      </c>
      <c r="Q7" s="11">
        <f>IF(Table12243657[[#Headers],[Nama Program]]="","",ROW(U3))</f>
        <v>3</v>
      </c>
      <c r="R7" s="53" t="s">
        <v>335</v>
      </c>
      <c r="S7" s="54">
        <v>3</v>
      </c>
      <c r="T7" s="54">
        <v>276</v>
      </c>
    </row>
    <row r="8" spans="2:20" x14ac:dyDescent="0.35">
      <c r="B8" s="11">
        <f>IF(Table122410[[#Headers],[Nama Program]]="","",ROW(F4))</f>
        <v>4</v>
      </c>
      <c r="C8" s="2" t="s">
        <v>289</v>
      </c>
      <c r="D8" s="44">
        <v>6</v>
      </c>
      <c r="E8" s="44">
        <v>465</v>
      </c>
      <c r="G8" s="11">
        <f>IF(Table12243046[[#Headers],[Nama Program]]="","",ROW(K4))</f>
        <v>4</v>
      </c>
      <c r="H8" s="53" t="s">
        <v>340</v>
      </c>
      <c r="I8" s="54">
        <v>1</v>
      </c>
      <c r="J8" s="54">
        <v>30</v>
      </c>
      <c r="L8" s="11">
        <f>IF(Table12241951[[#Headers],[Nama Program]]="","",ROW(P4))</f>
        <v>4</v>
      </c>
      <c r="M8" s="53" t="s">
        <v>319</v>
      </c>
      <c r="N8" s="54">
        <v>1</v>
      </c>
      <c r="O8" s="54">
        <v>28</v>
      </c>
      <c r="Q8" s="11">
        <f>IF(Table12243657[[#Headers],[Nama Program]]="","",ROW(U4))</f>
        <v>4</v>
      </c>
      <c r="R8" s="53" t="s">
        <v>255</v>
      </c>
      <c r="S8" s="54">
        <v>4</v>
      </c>
      <c r="T8" s="54">
        <v>261</v>
      </c>
    </row>
    <row r="9" spans="2:20" x14ac:dyDescent="0.35">
      <c r="B9" s="11">
        <f>IF(Table122410[[#Headers],[Nama Program]]="","",ROW(F5))</f>
        <v>5</v>
      </c>
      <c r="C9" s="53" t="s">
        <v>319</v>
      </c>
      <c r="D9" s="54">
        <v>16</v>
      </c>
      <c r="E9" s="54">
        <v>16615</v>
      </c>
      <c r="G9"/>
      <c r="H9" s="6"/>
      <c r="J9" s="7"/>
      <c r="L9" s="11">
        <f>IF(Table12241951[[#Headers],[Nama Program]]="","",ROW(P5))</f>
        <v>5</v>
      </c>
      <c r="M9" s="2" t="s">
        <v>334</v>
      </c>
      <c r="N9" s="44">
        <v>6</v>
      </c>
      <c r="O9" s="44">
        <v>803</v>
      </c>
      <c r="Q9" s="11">
        <f>IF(Table12243657[[#Headers],[Nama Program]]="","",ROW(U5))</f>
        <v>5</v>
      </c>
      <c r="R9" s="53" t="s">
        <v>340</v>
      </c>
      <c r="S9" s="54">
        <v>1</v>
      </c>
      <c r="T9" s="54">
        <v>34</v>
      </c>
    </row>
    <row r="10" spans="2:20" ht="21" x14ac:dyDescent="0.5">
      <c r="B10" s="11">
        <f>IF(Table122410[[#Headers],[Nama Program]]="","",ROW(F6))</f>
        <v>6</v>
      </c>
      <c r="C10" s="2" t="s">
        <v>334</v>
      </c>
      <c r="D10" s="44">
        <v>21</v>
      </c>
      <c r="E10" s="44">
        <v>2938</v>
      </c>
      <c r="G10" s="111" t="s">
        <v>189</v>
      </c>
      <c r="H10" s="112"/>
      <c r="I10" s="65">
        <f>SUM(I5:I8)</f>
        <v>12</v>
      </c>
      <c r="J10" s="65">
        <f>SUM(J5:J8)</f>
        <v>1980</v>
      </c>
      <c r="L10" s="11">
        <f>IF(Table12241951[[#Headers],[Nama Program]]="","",ROW(P6))</f>
        <v>6</v>
      </c>
      <c r="M10" s="53" t="s">
        <v>335</v>
      </c>
      <c r="N10" s="54">
        <v>2</v>
      </c>
      <c r="O10" s="54">
        <v>90</v>
      </c>
      <c r="R10" s="6"/>
      <c r="S10" s="7"/>
      <c r="T10" s="7"/>
    </row>
    <row r="11" spans="2:20" ht="21" x14ac:dyDescent="0.5">
      <c r="B11" s="11">
        <f>IF(Table122410[[#Headers],[Nama Program]]="","",ROW(F7))</f>
        <v>7</v>
      </c>
      <c r="C11" s="53" t="s">
        <v>330</v>
      </c>
      <c r="D11" s="54">
        <v>6</v>
      </c>
      <c r="E11" s="54">
        <v>261</v>
      </c>
      <c r="G11"/>
      <c r="H11" s="6"/>
      <c r="J11" s="7"/>
      <c r="L11" s="11">
        <f>IF(Table12241951[[#Headers],[Nama Program]]="","",ROW(P7))</f>
        <v>7</v>
      </c>
      <c r="M11" s="53" t="s">
        <v>341</v>
      </c>
      <c r="N11" s="54">
        <v>4</v>
      </c>
      <c r="O11" s="54">
        <v>225</v>
      </c>
      <c r="Q11" s="111" t="s">
        <v>189</v>
      </c>
      <c r="R11" s="112"/>
      <c r="S11" s="66">
        <f>SUM(S5:S9)</f>
        <v>11</v>
      </c>
      <c r="T11" s="66">
        <v>1611</v>
      </c>
    </row>
    <row r="12" spans="2:20" x14ac:dyDescent="0.35">
      <c r="B12" s="11">
        <f>IF(Table122410[[#Headers],[Nama Program]]="","",ROW(F8))</f>
        <v>8</v>
      </c>
      <c r="C12" s="53" t="s">
        <v>329</v>
      </c>
      <c r="D12" s="54">
        <v>1</v>
      </c>
      <c r="E12" s="54">
        <v>85</v>
      </c>
      <c r="G12"/>
      <c r="H12" s="6"/>
      <c r="J12" s="7"/>
      <c r="M12" s="6"/>
      <c r="N12" s="7"/>
      <c r="O12" s="7"/>
      <c r="R12" s="6"/>
      <c r="S12" s="7"/>
      <c r="T12" s="7"/>
    </row>
    <row r="13" spans="2:20" ht="21.5" thickBot="1" x14ac:dyDescent="0.55000000000000004">
      <c r="B13" s="11">
        <f>IF(Table122410[[#Headers],[Nama Program]]="","",ROW(F9))</f>
        <v>9</v>
      </c>
      <c r="C13" s="53" t="s">
        <v>337</v>
      </c>
      <c r="D13" s="54">
        <v>2</v>
      </c>
      <c r="E13" s="54">
        <v>133</v>
      </c>
      <c r="G13"/>
      <c r="H13" s="6"/>
      <c r="J13" s="7"/>
      <c r="L13" s="111" t="s">
        <v>189</v>
      </c>
      <c r="M13" s="112"/>
      <c r="N13" s="66">
        <f>SUM(N5:N11)</f>
        <v>28</v>
      </c>
      <c r="O13" s="66">
        <f>SUM(O5:O11)</f>
        <v>7894</v>
      </c>
      <c r="R13" s="6"/>
      <c r="S13" s="7"/>
      <c r="T13" s="7"/>
    </row>
    <row r="14" spans="2:20" ht="21.5" thickBot="1" x14ac:dyDescent="0.55000000000000004">
      <c r="B14" s="11">
        <f>IF(Table122410[[#Headers],[Nama Program]]="","",ROW(F10))</f>
        <v>10</v>
      </c>
      <c r="C14" s="53" t="s">
        <v>335</v>
      </c>
      <c r="D14" s="54">
        <v>20</v>
      </c>
      <c r="E14" s="54">
        <v>1286</v>
      </c>
      <c r="G14"/>
      <c r="H14" s="100" t="s">
        <v>344</v>
      </c>
      <c r="I14" s="103"/>
      <c r="J14" s="104"/>
      <c r="M14" s="6"/>
      <c r="N14" s="7"/>
      <c r="O14" s="7"/>
      <c r="R14" s="6"/>
      <c r="S14" s="7"/>
      <c r="T14" s="7"/>
    </row>
    <row r="15" spans="2:20" ht="21.5" thickBot="1" x14ac:dyDescent="0.55000000000000004">
      <c r="B15" s="11">
        <f>IF(Table122410[[#Headers],[Nama Program]]="","",ROW(F11))</f>
        <v>11</v>
      </c>
      <c r="C15" s="2" t="s">
        <v>336</v>
      </c>
      <c r="D15" s="44">
        <v>8</v>
      </c>
      <c r="E15" s="44">
        <v>498</v>
      </c>
      <c r="G15"/>
      <c r="H15"/>
      <c r="J15" s="7"/>
      <c r="M15" s="6"/>
      <c r="N15" s="7"/>
      <c r="O15" s="7"/>
      <c r="R15" s="100" t="s">
        <v>349</v>
      </c>
      <c r="S15" s="103"/>
      <c r="T15" s="104"/>
    </row>
    <row r="16" spans="2:20" ht="15" thickBot="1" x14ac:dyDescent="0.4">
      <c r="B16" s="11">
        <f>IF(Table122410[[#Headers],[Nama Program]]="","",ROW(F12))</f>
        <v>12</v>
      </c>
      <c r="C16" s="53" t="s">
        <v>398</v>
      </c>
      <c r="D16" s="54">
        <v>34</v>
      </c>
      <c r="E16" s="54">
        <v>2640</v>
      </c>
      <c r="G16"/>
      <c r="H16" s="63" t="s">
        <v>332</v>
      </c>
      <c r="I16" s="64" t="s">
        <v>193</v>
      </c>
      <c r="J16" s="64" t="s">
        <v>179</v>
      </c>
      <c r="M16" s="6"/>
      <c r="N16" s="7"/>
      <c r="O16" s="7"/>
      <c r="S16" s="7"/>
      <c r="T16" s="7"/>
    </row>
    <row r="17" spans="2:20" ht="21.5" thickBot="1" x14ac:dyDescent="0.55000000000000004">
      <c r="B17" s="11">
        <f>IF(Table122410[[#Headers],[Nama Program]]="","",ROW(F13))</f>
        <v>13</v>
      </c>
      <c r="C17" s="53" t="s">
        <v>316</v>
      </c>
      <c r="D17" s="54">
        <v>7</v>
      </c>
      <c r="E17" s="54">
        <v>587</v>
      </c>
      <c r="G17"/>
      <c r="H17" s="53" t="s">
        <v>271</v>
      </c>
      <c r="I17" s="54">
        <v>2</v>
      </c>
      <c r="J17" s="54">
        <v>130</v>
      </c>
      <c r="M17" s="100" t="s">
        <v>346</v>
      </c>
      <c r="N17" s="103"/>
      <c r="O17" s="104"/>
      <c r="Q17" s="6"/>
      <c r="R17" s="63" t="s">
        <v>332</v>
      </c>
      <c r="S17" s="64" t="s">
        <v>193</v>
      </c>
      <c r="T17" s="64" t="s">
        <v>179</v>
      </c>
    </row>
    <row r="18" spans="2:20" ht="15.5" x14ac:dyDescent="0.35">
      <c r="B18" s="11">
        <f>IF(Table122410[[#Headers],[Nama Program]]="","",ROW(F14))</f>
        <v>14</v>
      </c>
      <c r="C18" s="53" t="s">
        <v>360</v>
      </c>
      <c r="D18" s="54">
        <v>1</v>
      </c>
      <c r="E18" s="54">
        <v>370</v>
      </c>
      <c r="G18"/>
      <c r="H18" s="45" t="s">
        <v>186</v>
      </c>
      <c r="I18" s="43">
        <f>SUM(I17:I17)</f>
        <v>2</v>
      </c>
      <c r="J18" s="43">
        <f>SUM(J17:J17)</f>
        <v>130</v>
      </c>
      <c r="N18" s="7"/>
      <c r="O18" s="7"/>
      <c r="R18" s="53" t="s">
        <v>350</v>
      </c>
      <c r="S18" s="54">
        <v>1</v>
      </c>
      <c r="T18" s="54">
        <v>850</v>
      </c>
    </row>
    <row r="19" spans="2:20" ht="15.5" x14ac:dyDescent="0.35">
      <c r="B19" s="11">
        <f>IF(Table122410[[#Headers],[Nama Program]]="","",ROW(F15))</f>
        <v>15</v>
      </c>
      <c r="C19" s="53" t="s">
        <v>364</v>
      </c>
      <c r="D19" s="54">
        <v>2</v>
      </c>
      <c r="E19" s="54">
        <v>360</v>
      </c>
      <c r="G19"/>
      <c r="H19"/>
      <c r="J19" s="7"/>
      <c r="L19" s="6"/>
      <c r="M19" s="63" t="s">
        <v>331</v>
      </c>
      <c r="N19" s="64" t="s">
        <v>193</v>
      </c>
      <c r="O19" s="64" t="s">
        <v>179</v>
      </c>
      <c r="R19" s="45" t="s">
        <v>186</v>
      </c>
      <c r="S19" s="43">
        <f>SUM(S18:S18)</f>
        <v>1</v>
      </c>
      <c r="T19" s="43">
        <f>SUM(T18:T18)</f>
        <v>850</v>
      </c>
    </row>
    <row r="20" spans="2:20" x14ac:dyDescent="0.35">
      <c r="B20" s="11">
        <f>IF(Table122410[[#Headers],[Nama Program]]="","",ROW(F16))</f>
        <v>16</v>
      </c>
      <c r="C20" s="53" t="s">
        <v>369</v>
      </c>
      <c r="D20" s="54">
        <v>4</v>
      </c>
      <c r="E20" s="54">
        <v>2000</v>
      </c>
      <c r="G20"/>
      <c r="H20" s="63" t="s">
        <v>333</v>
      </c>
      <c r="I20" s="64" t="s">
        <v>193</v>
      </c>
      <c r="J20" s="64" t="s">
        <v>179</v>
      </c>
      <c r="M20" s="41" t="s">
        <v>296</v>
      </c>
      <c r="N20" s="44">
        <v>5</v>
      </c>
      <c r="O20" s="44">
        <v>6000</v>
      </c>
      <c r="S20" s="7"/>
      <c r="T20" s="7"/>
    </row>
    <row r="21" spans="2:20" ht="15.5" x14ac:dyDescent="0.35">
      <c r="B21" s="11">
        <f>IF(Table122410[[#Headers],[Nama Program]]="","",ROW(F17))</f>
        <v>17</v>
      </c>
      <c r="C21" s="53" t="s">
        <v>375</v>
      </c>
      <c r="D21" s="54">
        <v>3</v>
      </c>
      <c r="E21" s="54">
        <v>122</v>
      </c>
      <c r="G21"/>
      <c r="H21" s="2" t="s">
        <v>334</v>
      </c>
      <c r="I21" s="44">
        <v>5</v>
      </c>
      <c r="J21" s="44">
        <v>1100</v>
      </c>
      <c r="M21" s="45" t="s">
        <v>186</v>
      </c>
      <c r="N21" s="43">
        <f>SUM(N20:N20)</f>
        <v>5</v>
      </c>
      <c r="O21" s="43">
        <f>SUM(O20:O20)</f>
        <v>6000</v>
      </c>
      <c r="Q21" s="6"/>
      <c r="R21" s="63" t="s">
        <v>333</v>
      </c>
      <c r="S21" s="64" t="s">
        <v>193</v>
      </c>
      <c r="T21" s="64" t="s">
        <v>179</v>
      </c>
    </row>
    <row r="22" spans="2:20" ht="15.5" x14ac:dyDescent="0.35">
      <c r="B22" s="11">
        <f>IF(Table122410[[#Headers],[Nama Program]]="","",ROW(F18))</f>
        <v>18</v>
      </c>
      <c r="C22" s="53" t="s">
        <v>255</v>
      </c>
      <c r="D22" s="54">
        <v>11</v>
      </c>
      <c r="E22" s="54">
        <v>449</v>
      </c>
      <c r="H22" s="45" t="s">
        <v>186</v>
      </c>
      <c r="I22" s="43">
        <f>SUM(I21:I21)</f>
        <v>5</v>
      </c>
      <c r="J22" s="43">
        <f>SUM(J21:J21)</f>
        <v>1100</v>
      </c>
      <c r="N22" s="7"/>
      <c r="O22" s="7"/>
      <c r="R22" s="2" t="s">
        <v>334</v>
      </c>
      <c r="S22" s="44">
        <v>2</v>
      </c>
      <c r="T22" s="44">
        <v>220</v>
      </c>
    </row>
    <row r="23" spans="2:20" ht="15.5" x14ac:dyDescent="0.35">
      <c r="B23" s="11">
        <f>IF(Table122410[[#Headers],[Nama Program]]="","",ROW(F19))</f>
        <v>19</v>
      </c>
      <c r="C23" s="53" t="s">
        <v>374</v>
      </c>
      <c r="D23" s="54">
        <v>7</v>
      </c>
      <c r="E23" s="54">
        <v>271</v>
      </c>
      <c r="G23"/>
      <c r="H23"/>
      <c r="J23" s="7"/>
      <c r="L23" s="6"/>
      <c r="M23" s="63" t="s">
        <v>332</v>
      </c>
      <c r="N23" s="64" t="s">
        <v>193</v>
      </c>
      <c r="O23" s="64" t="s">
        <v>179</v>
      </c>
      <c r="R23" s="45" t="s">
        <v>186</v>
      </c>
      <c r="S23" s="43">
        <f>SUM(S22:S22)</f>
        <v>2</v>
      </c>
      <c r="T23" s="43">
        <f>SUM(T22:T22)</f>
        <v>220</v>
      </c>
    </row>
    <row r="24" spans="2:20" x14ac:dyDescent="0.35">
      <c r="B24" s="11">
        <f>IF(Table122410[[#Headers],[Nama Program]]="","",ROW(F20))</f>
        <v>20</v>
      </c>
      <c r="C24" s="53" t="s">
        <v>385</v>
      </c>
      <c r="D24" s="54">
        <v>1</v>
      </c>
      <c r="E24" s="54">
        <v>100</v>
      </c>
      <c r="G24"/>
      <c r="H24" s="63" t="s">
        <v>338</v>
      </c>
      <c r="I24" s="64" t="s">
        <v>193</v>
      </c>
      <c r="J24" s="64" t="s">
        <v>179</v>
      </c>
      <c r="M24" s="53" t="s">
        <v>271</v>
      </c>
      <c r="N24" s="54">
        <v>9</v>
      </c>
      <c r="O24" s="54">
        <v>601</v>
      </c>
      <c r="S24" s="7"/>
      <c r="T24" s="7"/>
    </row>
    <row r="25" spans="2:20" x14ac:dyDescent="0.35">
      <c r="B25" s="11">
        <f>IF(Table122410[[#Headers],[Nama Program]]="","",ROW(F21))</f>
        <v>21</v>
      </c>
      <c r="C25" s="53" t="s">
        <v>396</v>
      </c>
      <c r="D25" s="54">
        <v>1</v>
      </c>
      <c r="E25" s="54">
        <v>100</v>
      </c>
      <c r="G25"/>
      <c r="H25" s="53" t="s">
        <v>335</v>
      </c>
      <c r="I25" s="54">
        <v>4</v>
      </c>
      <c r="J25" s="54">
        <v>720</v>
      </c>
      <c r="M25" s="2" t="s">
        <v>289</v>
      </c>
      <c r="N25" s="44">
        <v>1</v>
      </c>
      <c r="O25" s="44">
        <v>147</v>
      </c>
      <c r="R25" s="63" t="s">
        <v>338</v>
      </c>
      <c r="S25" s="64" t="s">
        <v>193</v>
      </c>
      <c r="T25" s="64" t="s">
        <v>179</v>
      </c>
    </row>
    <row r="26" spans="2:20" ht="15.5" x14ac:dyDescent="0.35">
      <c r="B26" s="11">
        <f>IF(Table122410[[#Headers],[Nama Program]]="","",ROW(F22))</f>
        <v>22</v>
      </c>
      <c r="C26" s="53" t="s">
        <v>321</v>
      </c>
      <c r="D26" s="54">
        <v>3</v>
      </c>
      <c r="E26" s="54">
        <v>94</v>
      </c>
      <c r="G26"/>
      <c r="H26" s="45" t="s">
        <v>186</v>
      </c>
      <c r="I26" s="43">
        <f>SUM(I25:I25)</f>
        <v>4</v>
      </c>
      <c r="J26" s="43">
        <f>SUM(J25:J25)</f>
        <v>720</v>
      </c>
      <c r="M26" s="45" t="s">
        <v>186</v>
      </c>
      <c r="N26" s="43">
        <f>SUM(N24:N25)</f>
        <v>10</v>
      </c>
      <c r="O26" s="43">
        <f>SUM(O24:O25)</f>
        <v>748</v>
      </c>
      <c r="Q26" s="6"/>
      <c r="R26" s="53" t="s">
        <v>335</v>
      </c>
      <c r="S26" s="54">
        <v>3</v>
      </c>
      <c r="T26" s="54">
        <v>276</v>
      </c>
    </row>
    <row r="27" spans="2:20" ht="15.5" x14ac:dyDescent="0.35">
      <c r="B27" s="11">
        <f>IF(Table122410[[#Headers],[Nama Program]]="","",ROW(F23))</f>
        <v>23</v>
      </c>
      <c r="C27" s="53" t="s">
        <v>390</v>
      </c>
      <c r="D27" s="54">
        <v>15</v>
      </c>
      <c r="E27" s="54">
        <v>689</v>
      </c>
      <c r="G27"/>
      <c r="H27"/>
      <c r="J27" s="7"/>
      <c r="N27" s="7"/>
      <c r="O27" s="7"/>
      <c r="R27" s="45" t="s">
        <v>186</v>
      </c>
      <c r="S27" s="43">
        <f>SUM(S26:S26)</f>
        <v>3</v>
      </c>
      <c r="T27" s="43">
        <f>SUM(T26:T26)</f>
        <v>276</v>
      </c>
    </row>
    <row r="28" spans="2:20" s="6" customFormat="1" x14ac:dyDescent="0.35">
      <c r="B28" s="11">
        <f>IF(Table122410[[#Headers],[Nama Program]]="","",ROW(F24))</f>
        <v>24</v>
      </c>
      <c r="C28" s="53" t="s">
        <v>393</v>
      </c>
      <c r="D28" s="54">
        <v>1</v>
      </c>
      <c r="E28" s="54">
        <v>100</v>
      </c>
      <c r="H28" s="63" t="s">
        <v>339</v>
      </c>
      <c r="I28" s="64" t="s">
        <v>193</v>
      </c>
      <c r="J28" s="64" t="s">
        <v>179</v>
      </c>
      <c r="M28" s="63" t="s">
        <v>333</v>
      </c>
      <c r="N28" s="64" t="s">
        <v>193</v>
      </c>
      <c r="O28" s="64" t="s">
        <v>179</v>
      </c>
      <c r="Q28"/>
      <c r="R28"/>
      <c r="S28" s="7"/>
      <c r="T28" s="7"/>
    </row>
    <row r="29" spans="2:20" x14ac:dyDescent="0.35">
      <c r="B29" s="11">
        <f>IF(Table122410[[#Headers],[Nama Program]]="","",ROW(F25))</f>
        <v>25</v>
      </c>
      <c r="C29" s="53" t="s">
        <v>341</v>
      </c>
      <c r="D29" s="54">
        <v>5</v>
      </c>
      <c r="E29" s="54">
        <v>549</v>
      </c>
      <c r="G29"/>
      <c r="H29" s="53" t="s">
        <v>340</v>
      </c>
      <c r="I29" s="54">
        <v>1</v>
      </c>
      <c r="J29" s="54">
        <v>30</v>
      </c>
      <c r="M29" s="53" t="s">
        <v>319</v>
      </c>
      <c r="N29" s="54">
        <v>1</v>
      </c>
      <c r="O29" s="54">
        <v>28</v>
      </c>
      <c r="R29" s="63" t="s">
        <v>339</v>
      </c>
      <c r="S29" s="64" t="s">
        <v>193</v>
      </c>
      <c r="T29" s="64" t="s">
        <v>179</v>
      </c>
    </row>
    <row r="30" spans="2:20" ht="15.5" x14ac:dyDescent="0.35">
      <c r="G30"/>
      <c r="H30" s="45" t="s">
        <v>186</v>
      </c>
      <c r="I30" s="43">
        <f>SUM(I29:I29)</f>
        <v>1</v>
      </c>
      <c r="J30" s="43">
        <f>SUM(J29:J29)</f>
        <v>30</v>
      </c>
      <c r="M30" s="2" t="s">
        <v>334</v>
      </c>
      <c r="N30" s="44">
        <v>6</v>
      </c>
      <c r="O30" s="44">
        <v>803</v>
      </c>
      <c r="R30" s="53" t="s">
        <v>255</v>
      </c>
      <c r="S30" s="54">
        <v>4</v>
      </c>
      <c r="T30" s="54">
        <v>261</v>
      </c>
    </row>
    <row r="31" spans="2:20" ht="15.5" x14ac:dyDescent="0.35">
      <c r="G31"/>
      <c r="H31"/>
      <c r="J31" s="7"/>
      <c r="M31" s="45" t="s">
        <v>186</v>
      </c>
      <c r="N31" s="43">
        <f>SUM(N29:N30)</f>
        <v>7</v>
      </c>
      <c r="O31" s="43">
        <f>SUM(O29:O30)</f>
        <v>831</v>
      </c>
      <c r="Q31" s="6"/>
      <c r="R31" s="53" t="s">
        <v>340</v>
      </c>
      <c r="S31" s="54">
        <v>1</v>
      </c>
      <c r="T31" s="54">
        <v>4</v>
      </c>
    </row>
    <row r="32" spans="2:20" s="6" customFormat="1" ht="21" x14ac:dyDescent="0.5">
      <c r="B32" s="111" t="s">
        <v>189</v>
      </c>
      <c r="C32" s="112"/>
      <c r="D32" s="46">
        <f>SUM(D5:D29)</f>
        <v>194</v>
      </c>
      <c r="E32" s="46">
        <f>SUM(E5:E29)</f>
        <v>35887</v>
      </c>
      <c r="H32"/>
      <c r="I32" s="7"/>
      <c r="J32" s="7"/>
      <c r="L32"/>
      <c r="M32"/>
      <c r="N32" s="7"/>
      <c r="O32" s="7"/>
      <c r="Q32"/>
      <c r="R32" s="45" t="s">
        <v>186</v>
      </c>
      <c r="S32" s="43">
        <f>SUM(S30:S31)</f>
        <v>5</v>
      </c>
      <c r="T32" s="43">
        <f>SUM(T30:T31)</f>
        <v>265</v>
      </c>
    </row>
    <row r="33" spans="2:20" ht="18.5" x14ac:dyDescent="0.45">
      <c r="G33"/>
      <c r="H33" s="30" t="s">
        <v>189</v>
      </c>
      <c r="I33" s="30">
        <f>+I18+I22+I26+I30</f>
        <v>12</v>
      </c>
      <c r="J33" s="30">
        <f>+J18+J22+J26+J30</f>
        <v>1980</v>
      </c>
      <c r="L33" s="6"/>
      <c r="M33" s="63" t="s">
        <v>338</v>
      </c>
      <c r="N33" s="64" t="s">
        <v>193</v>
      </c>
      <c r="O33" s="64" t="s">
        <v>179</v>
      </c>
    </row>
    <row r="34" spans="2:20" x14ac:dyDescent="0.35">
      <c r="G34"/>
      <c r="M34" s="53" t="s">
        <v>335</v>
      </c>
      <c r="N34" s="54">
        <v>2</v>
      </c>
      <c r="O34" s="54">
        <v>90</v>
      </c>
    </row>
    <row r="35" spans="2:20" ht="19" thickBot="1" x14ac:dyDescent="0.5">
      <c r="G35"/>
      <c r="M35" s="45" t="s">
        <v>186</v>
      </c>
      <c r="N35" s="43">
        <f>SUM(N34:N34)</f>
        <v>2</v>
      </c>
      <c r="O35" s="43">
        <f>SUM(O34:O34)</f>
        <v>90</v>
      </c>
      <c r="R35" s="30" t="s">
        <v>189</v>
      </c>
      <c r="S35" s="30">
        <f>+S19+S23+S27+S32</f>
        <v>11</v>
      </c>
      <c r="T35" s="30">
        <f>+T19+T23+T27+T32</f>
        <v>1611</v>
      </c>
    </row>
    <row r="36" spans="2:20" ht="21.5" thickBot="1" x14ac:dyDescent="0.55000000000000004">
      <c r="C36" s="100" t="s">
        <v>347</v>
      </c>
      <c r="D36" s="103"/>
      <c r="E36" s="104"/>
      <c r="G36"/>
      <c r="N36" s="7"/>
      <c r="O36" s="7"/>
    </row>
    <row r="37" spans="2:20" s="6" customFormat="1" x14ac:dyDescent="0.35">
      <c r="B37"/>
      <c r="C37"/>
      <c r="D37" s="7"/>
      <c r="E37" s="7"/>
      <c r="L37"/>
      <c r="M37" s="63" t="s">
        <v>339</v>
      </c>
      <c r="N37" s="64" t="s">
        <v>193</v>
      </c>
      <c r="O37" s="64" t="s">
        <v>179</v>
      </c>
      <c r="Q37"/>
      <c r="R37"/>
      <c r="S37"/>
      <c r="T37"/>
    </row>
    <row r="38" spans="2:20" x14ac:dyDescent="0.35">
      <c r="B38" s="6"/>
      <c r="C38" s="63" t="s">
        <v>331</v>
      </c>
      <c r="D38" s="64" t="s">
        <v>193</v>
      </c>
      <c r="E38" s="64" t="s">
        <v>179</v>
      </c>
      <c r="G38"/>
      <c r="M38" s="53" t="s">
        <v>341</v>
      </c>
      <c r="N38" s="54">
        <v>4</v>
      </c>
      <c r="O38" s="54">
        <v>225</v>
      </c>
    </row>
    <row r="39" spans="2:20" ht="15.5" x14ac:dyDescent="0.35">
      <c r="C39" s="41" t="s">
        <v>296</v>
      </c>
      <c r="D39" s="44">
        <v>2</v>
      </c>
      <c r="E39" s="44">
        <v>2400</v>
      </c>
      <c r="G39"/>
      <c r="M39" s="45" t="s">
        <v>186</v>
      </c>
      <c r="N39" s="43">
        <f>SUM(N38:N38)</f>
        <v>4</v>
      </c>
      <c r="O39" s="43">
        <f>SUM(O38:O38)</f>
        <v>225</v>
      </c>
      <c r="Q39" s="6"/>
    </row>
    <row r="40" spans="2:20" x14ac:dyDescent="0.35">
      <c r="C40" s="41" t="s">
        <v>397</v>
      </c>
      <c r="D40" s="44">
        <v>5</v>
      </c>
      <c r="E40" s="44">
        <v>2016</v>
      </c>
      <c r="G40"/>
    </row>
    <row r="41" spans="2:20" ht="15.5" x14ac:dyDescent="0.35">
      <c r="C41" s="45" t="s">
        <v>186</v>
      </c>
      <c r="D41" s="43">
        <f>SUM(D39:D40)</f>
        <v>7</v>
      </c>
      <c r="E41" s="43">
        <f>SUM(E39:E40)</f>
        <v>4416</v>
      </c>
      <c r="G41"/>
      <c r="L41" s="6"/>
    </row>
    <row r="42" spans="2:20" s="6" customFormat="1" ht="18.5" x14ac:dyDescent="0.45">
      <c r="C42"/>
      <c r="D42" s="7"/>
      <c r="E42" s="7"/>
      <c r="L42"/>
      <c r="M42" s="30" t="s">
        <v>189</v>
      </c>
      <c r="N42" s="30">
        <f>N21+N26+N31+N35+N39</f>
        <v>28</v>
      </c>
      <c r="O42" s="30">
        <f>O21+O26+O31+O35+O39</f>
        <v>7894</v>
      </c>
      <c r="Q42"/>
      <c r="R42"/>
      <c r="S42"/>
      <c r="T42"/>
    </row>
    <row r="43" spans="2:20" x14ac:dyDescent="0.35">
      <c r="C43" s="63" t="s">
        <v>332</v>
      </c>
      <c r="D43" s="64" t="s">
        <v>193</v>
      </c>
      <c r="E43" s="64" t="s">
        <v>179</v>
      </c>
      <c r="G43"/>
    </row>
    <row r="44" spans="2:20" x14ac:dyDescent="0.35">
      <c r="C44" s="53" t="s">
        <v>271</v>
      </c>
      <c r="D44" s="54">
        <v>12</v>
      </c>
      <c r="E44" s="54">
        <v>759</v>
      </c>
      <c r="G44"/>
    </row>
    <row r="45" spans="2:20" x14ac:dyDescent="0.35">
      <c r="C45" s="2" t="s">
        <v>289</v>
      </c>
      <c r="D45" s="44">
        <v>6</v>
      </c>
      <c r="E45" s="44">
        <v>465</v>
      </c>
      <c r="G45"/>
    </row>
    <row r="46" spans="2:20" ht="15.5" x14ac:dyDescent="0.35">
      <c r="C46" s="45" t="s">
        <v>186</v>
      </c>
      <c r="D46" s="43">
        <f>SUM(D44:D45)</f>
        <v>18</v>
      </c>
      <c r="E46" s="43">
        <f>SUM(E44:E45)</f>
        <v>1224</v>
      </c>
      <c r="G46"/>
    </row>
    <row r="47" spans="2:20" x14ac:dyDescent="0.35">
      <c r="B47" s="6"/>
      <c r="C47"/>
      <c r="G47"/>
    </row>
    <row r="48" spans="2:20" x14ac:dyDescent="0.35">
      <c r="C48" s="63" t="s">
        <v>333</v>
      </c>
      <c r="D48" s="64" t="s">
        <v>193</v>
      </c>
      <c r="E48" s="64" t="s">
        <v>179</v>
      </c>
      <c r="G48"/>
    </row>
    <row r="49" spans="2:20" x14ac:dyDescent="0.35">
      <c r="C49" s="53" t="s">
        <v>319</v>
      </c>
      <c r="D49" s="54">
        <v>16</v>
      </c>
      <c r="E49" s="54">
        <v>16615</v>
      </c>
      <c r="G49"/>
    </row>
    <row r="50" spans="2:20" s="6" customFormat="1" x14ac:dyDescent="0.35">
      <c r="B50"/>
      <c r="C50" s="2" t="s">
        <v>334</v>
      </c>
      <c r="D50" s="44">
        <v>21</v>
      </c>
      <c r="E50" s="44">
        <v>2938</v>
      </c>
      <c r="H50" s="7"/>
      <c r="I50" s="7"/>
      <c r="J50"/>
      <c r="L50"/>
      <c r="M50"/>
      <c r="N50"/>
      <c r="O50"/>
      <c r="Q50"/>
      <c r="R50"/>
      <c r="S50"/>
      <c r="T50"/>
    </row>
    <row r="51" spans="2:20" ht="15.5" x14ac:dyDescent="0.35">
      <c r="C51" s="45" t="s">
        <v>186</v>
      </c>
      <c r="D51" s="43">
        <f>SUM(D49:D50)</f>
        <v>37</v>
      </c>
      <c r="E51" s="43">
        <f>SUM(E49:E50)</f>
        <v>19553</v>
      </c>
      <c r="G51"/>
    </row>
    <row r="52" spans="2:20" x14ac:dyDescent="0.35">
      <c r="B52" s="6"/>
      <c r="C52"/>
      <c r="G52"/>
    </row>
    <row r="53" spans="2:20" x14ac:dyDescent="0.35">
      <c r="C53" s="63" t="s">
        <v>338</v>
      </c>
      <c r="D53" s="64" t="s">
        <v>193</v>
      </c>
      <c r="E53" s="64" t="s">
        <v>179</v>
      </c>
      <c r="G53"/>
    </row>
    <row r="54" spans="2:20" x14ac:dyDescent="0.35">
      <c r="C54" s="53" t="s">
        <v>330</v>
      </c>
      <c r="D54" s="54">
        <v>6</v>
      </c>
      <c r="E54" s="54">
        <v>261</v>
      </c>
      <c r="G54"/>
    </row>
    <row r="55" spans="2:20" x14ac:dyDescent="0.35">
      <c r="C55" s="53" t="s">
        <v>329</v>
      </c>
      <c r="D55" s="54">
        <v>1</v>
      </c>
      <c r="E55" s="54">
        <v>85</v>
      </c>
      <c r="G55"/>
    </row>
    <row r="56" spans="2:20" x14ac:dyDescent="0.35">
      <c r="C56" s="53" t="s">
        <v>337</v>
      </c>
      <c r="D56" s="54">
        <v>2</v>
      </c>
      <c r="E56" s="54">
        <v>133</v>
      </c>
      <c r="G56"/>
    </row>
    <row r="57" spans="2:20" x14ac:dyDescent="0.35">
      <c r="C57" s="53" t="s">
        <v>335</v>
      </c>
      <c r="D57" s="54">
        <v>20</v>
      </c>
      <c r="E57" s="54">
        <v>1286</v>
      </c>
      <c r="G57"/>
    </row>
    <row r="58" spans="2:20" x14ac:dyDescent="0.35">
      <c r="C58" s="2" t="s">
        <v>336</v>
      </c>
      <c r="D58" s="44">
        <v>8</v>
      </c>
      <c r="E58" s="44">
        <v>498</v>
      </c>
      <c r="G58"/>
    </row>
    <row r="59" spans="2:20" ht="15.5" x14ac:dyDescent="0.35">
      <c r="C59" s="45" t="s">
        <v>186</v>
      </c>
      <c r="D59" s="43">
        <f>SUM(D54:D58)</f>
        <v>37</v>
      </c>
      <c r="E59" s="43">
        <f>SUM(E54:E58)</f>
        <v>2263</v>
      </c>
      <c r="G59"/>
    </row>
    <row r="60" spans="2:20" x14ac:dyDescent="0.35">
      <c r="B60" s="6"/>
      <c r="C60"/>
    </row>
    <row r="61" spans="2:20" x14ac:dyDescent="0.35">
      <c r="C61" s="63" t="s">
        <v>339</v>
      </c>
      <c r="D61" s="64" t="s">
        <v>193</v>
      </c>
      <c r="E61" s="64" t="s">
        <v>179</v>
      </c>
    </row>
    <row r="62" spans="2:20" x14ac:dyDescent="0.35">
      <c r="C62" s="53" t="s">
        <v>398</v>
      </c>
      <c r="D62" s="54">
        <v>34</v>
      </c>
      <c r="E62" s="54">
        <v>2640</v>
      </c>
    </row>
    <row r="63" spans="2:20" x14ac:dyDescent="0.35">
      <c r="C63" s="53" t="s">
        <v>316</v>
      </c>
      <c r="D63" s="54">
        <v>7</v>
      </c>
      <c r="E63" s="54">
        <v>587</v>
      </c>
    </row>
    <row r="64" spans="2:20" x14ac:dyDescent="0.35">
      <c r="C64" s="53" t="s">
        <v>360</v>
      </c>
      <c r="D64" s="54">
        <v>1</v>
      </c>
      <c r="E64" s="54">
        <v>370</v>
      </c>
    </row>
    <row r="65" spans="3:5" x14ac:dyDescent="0.35">
      <c r="C65" s="53" t="s">
        <v>364</v>
      </c>
      <c r="D65" s="54">
        <v>2</v>
      </c>
      <c r="E65" s="54">
        <v>360</v>
      </c>
    </row>
    <row r="66" spans="3:5" x14ac:dyDescent="0.35">
      <c r="C66" s="53" t="s">
        <v>369</v>
      </c>
      <c r="D66" s="54">
        <v>4</v>
      </c>
      <c r="E66" s="54">
        <v>2000</v>
      </c>
    </row>
    <row r="67" spans="3:5" x14ac:dyDescent="0.35">
      <c r="C67" s="53" t="s">
        <v>375</v>
      </c>
      <c r="D67" s="54">
        <v>3</v>
      </c>
      <c r="E67" s="54">
        <v>122</v>
      </c>
    </row>
    <row r="68" spans="3:5" x14ac:dyDescent="0.35">
      <c r="C68" s="53" t="s">
        <v>255</v>
      </c>
      <c r="D68" s="54">
        <v>11</v>
      </c>
      <c r="E68" s="54">
        <v>449</v>
      </c>
    </row>
    <row r="69" spans="3:5" x14ac:dyDescent="0.35">
      <c r="C69" s="53" t="s">
        <v>374</v>
      </c>
      <c r="D69" s="54">
        <v>7</v>
      </c>
      <c r="E69" s="54">
        <v>271</v>
      </c>
    </row>
    <row r="70" spans="3:5" x14ac:dyDescent="0.35">
      <c r="C70" s="53" t="s">
        <v>385</v>
      </c>
      <c r="D70" s="54">
        <v>1</v>
      </c>
      <c r="E70" s="54">
        <v>100</v>
      </c>
    </row>
    <row r="71" spans="3:5" x14ac:dyDescent="0.35">
      <c r="C71" s="53" t="s">
        <v>396</v>
      </c>
      <c r="D71" s="54">
        <v>1</v>
      </c>
      <c r="E71" s="54">
        <v>100</v>
      </c>
    </row>
    <row r="72" spans="3:5" x14ac:dyDescent="0.35">
      <c r="C72" s="53" t="s">
        <v>321</v>
      </c>
      <c r="D72" s="54">
        <v>3</v>
      </c>
      <c r="E72" s="54">
        <v>94</v>
      </c>
    </row>
    <row r="73" spans="3:5" x14ac:dyDescent="0.35">
      <c r="C73" s="53" t="s">
        <v>390</v>
      </c>
      <c r="D73" s="54">
        <v>15</v>
      </c>
      <c r="E73" s="54">
        <v>689</v>
      </c>
    </row>
    <row r="74" spans="3:5" x14ac:dyDescent="0.35">
      <c r="C74" s="53" t="s">
        <v>393</v>
      </c>
      <c r="D74" s="54">
        <v>1</v>
      </c>
      <c r="E74" s="54">
        <v>100</v>
      </c>
    </row>
    <row r="75" spans="3:5" x14ac:dyDescent="0.35">
      <c r="C75" s="53" t="s">
        <v>341</v>
      </c>
      <c r="D75" s="54">
        <v>5</v>
      </c>
      <c r="E75" s="54">
        <v>549</v>
      </c>
    </row>
    <row r="76" spans="3:5" ht="15.5" x14ac:dyDescent="0.35">
      <c r="C76" s="45" t="s">
        <v>186</v>
      </c>
      <c r="D76" s="43">
        <f>SUM(D62:D75)</f>
        <v>95</v>
      </c>
      <c r="E76" s="43">
        <f>SUM(E62:E75)</f>
        <v>8431</v>
      </c>
    </row>
    <row r="77" spans="3:5" x14ac:dyDescent="0.35">
      <c r="C77"/>
    </row>
    <row r="78" spans="3:5" x14ac:dyDescent="0.35">
      <c r="C78"/>
    </row>
    <row r="79" spans="3:5" ht="18.5" x14ac:dyDescent="0.45">
      <c r="C79" s="30" t="s">
        <v>189</v>
      </c>
      <c r="D79" s="30">
        <f>D41+D46+D51+D59+D76</f>
        <v>194</v>
      </c>
      <c r="E79" s="30">
        <f>E41+E46+E51+E59+E76</f>
        <v>35887</v>
      </c>
    </row>
    <row r="1048507" spans="3:3" x14ac:dyDescent="0.35">
      <c r="C1048507" s="14" t="s">
        <v>194</v>
      </c>
    </row>
  </sheetData>
  <mergeCells count="12">
    <mergeCell ref="B32:C32"/>
    <mergeCell ref="C36:E36"/>
    <mergeCell ref="R15:T15"/>
    <mergeCell ref="L2:O2"/>
    <mergeCell ref="L13:M13"/>
    <mergeCell ref="M17:O17"/>
    <mergeCell ref="Q2:T2"/>
    <mergeCell ref="Q11:R11"/>
    <mergeCell ref="B2:E2"/>
    <mergeCell ref="G2:J2"/>
    <mergeCell ref="G10:H10"/>
    <mergeCell ref="H14:J14"/>
  </mergeCells>
  <pageMargins left="0.7" right="0.7" top="0.75" bottom="0.75" header="0.3" footer="0.3"/>
  <tableParts count="2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0EAF-A99E-40C0-9F50-72FA849D9F9B}">
  <dimension ref="B1:V217"/>
  <sheetViews>
    <sheetView showGridLines="0" topLeftCell="I1" zoomScale="62" workbookViewId="0">
      <selection activeCell="O9" sqref="O9"/>
    </sheetView>
  </sheetViews>
  <sheetFormatPr defaultRowHeight="21" x14ac:dyDescent="0.5"/>
  <cols>
    <col min="2" max="2" width="7.08984375" style="7" bestFit="1" customWidth="1"/>
    <col min="3" max="3" width="20.90625" customWidth="1"/>
    <col min="4" max="4" width="19" bestFit="1" customWidth="1"/>
    <col min="5" max="5" width="15.453125" customWidth="1"/>
    <col min="6" max="6" width="27.6328125" style="7" customWidth="1"/>
    <col min="7" max="7" width="10.81640625" bestFit="1" customWidth="1"/>
    <col min="8" max="8" width="24.7265625" style="1" bestFit="1" customWidth="1"/>
    <col min="10" max="10" width="8.7265625" style="60"/>
    <col min="12" max="12" width="23.453125" bestFit="1" customWidth="1"/>
    <col min="13" max="13" width="19.1796875" bestFit="1" customWidth="1"/>
    <col min="14" max="14" width="8.7265625" style="7"/>
    <col min="16" max="16" width="32.36328125" bestFit="1" customWidth="1"/>
    <col min="17" max="17" width="40.90625" bestFit="1" customWidth="1"/>
    <col min="18" max="18" width="9.90625" style="7" bestFit="1" customWidth="1"/>
    <col min="19" max="19" width="26.453125" bestFit="1" customWidth="1"/>
    <col min="21" max="22" width="19.1796875" bestFit="1" customWidth="1"/>
  </cols>
  <sheetData>
    <row r="1" spans="2:22" ht="21.5" thickBot="1" x14ac:dyDescent="0.55000000000000004"/>
    <row r="2" spans="2:22" ht="21.5" thickBot="1" x14ac:dyDescent="0.55000000000000004">
      <c r="B2" s="97" t="s">
        <v>195</v>
      </c>
      <c r="C2" s="98"/>
      <c r="D2" s="98"/>
      <c r="E2" s="98"/>
      <c r="F2" s="98"/>
      <c r="G2" s="98"/>
      <c r="H2" s="99"/>
      <c r="L2" s="100" t="s">
        <v>571</v>
      </c>
      <c r="M2" s="101"/>
      <c r="N2" s="102"/>
      <c r="P2" s="100" t="s">
        <v>584</v>
      </c>
      <c r="Q2" s="103"/>
      <c r="R2" s="103"/>
      <c r="S2" s="104"/>
    </row>
    <row r="3" spans="2:22" ht="21.5" thickBot="1" x14ac:dyDescent="0.55000000000000004"/>
    <row r="4" spans="2:22" s="7" customFormat="1" ht="21.5" thickBot="1" x14ac:dyDescent="0.55000000000000004">
      <c r="B4" s="58" t="s">
        <v>28</v>
      </c>
      <c r="C4" s="54" t="s">
        <v>29</v>
      </c>
      <c r="D4" s="54" t="s">
        <v>30</v>
      </c>
      <c r="E4" s="54" t="s">
        <v>196</v>
      </c>
      <c r="F4" s="54" t="s">
        <v>31</v>
      </c>
      <c r="G4" s="54" t="s">
        <v>197</v>
      </c>
      <c r="H4" s="57" t="s">
        <v>198</v>
      </c>
      <c r="J4" s="62" t="s">
        <v>200</v>
      </c>
      <c r="L4" s="44" t="s">
        <v>568</v>
      </c>
      <c r="M4" s="44" t="s">
        <v>569</v>
      </c>
      <c r="N4" s="44" t="s">
        <v>570</v>
      </c>
      <c r="P4" s="44" t="s">
        <v>177</v>
      </c>
      <c r="Q4" s="44" t="s">
        <v>572</v>
      </c>
      <c r="R4" s="44" t="s">
        <v>179</v>
      </c>
      <c r="S4" s="44" t="s">
        <v>573</v>
      </c>
    </row>
    <row r="5" spans="2:22" ht="21.5" thickBot="1" x14ac:dyDescent="0.55000000000000004">
      <c r="B5" s="44">
        <f>IF(Table11[[#This Row],[Kelurahan]]="","",ROW(I1))</f>
        <v>1</v>
      </c>
      <c r="C5" s="52" t="s">
        <v>99</v>
      </c>
      <c r="D5" s="52" t="str">
        <f>INDEX(Table2[Kecamatan],MATCH(Table11[[#This Row],[Kelurahan]],Table2[Kelurahan],0))</f>
        <v>Kertapati</v>
      </c>
      <c r="E5" s="52" t="str">
        <f>INDEX(Table2[Kabupaten/Kota],MATCH(Table11[[#This Row],[Kecamatan]],Table2[Kecamatan],0))</f>
        <v>Palembang</v>
      </c>
      <c r="F5" s="52" t="str">
        <f>INDEX(Table2[Provinsi],MATCH(Table11[[#This Row],[Kab/Kota]],Table2[Kabupaten/Kota],0))</f>
        <v>Sumatera Selatan</v>
      </c>
      <c r="G5" s="2" t="s">
        <v>199</v>
      </c>
      <c r="H5" s="59">
        <v>36</v>
      </c>
      <c r="J5" s="62">
        <f>SUM(Table11[Kuantitas program])</f>
        <v>213</v>
      </c>
      <c r="L5" s="2" t="s">
        <v>119</v>
      </c>
      <c r="M5" s="2" t="str" cm="1">
        <f t="array" ref="M5:M59">_xlfn.UNIQUE(C5:C137)</f>
        <v>Keramasan</v>
      </c>
      <c r="N5" s="44" cm="1">
        <f t="array" ref="N5:N58">COUNTIF($L$5:$L$137,M5:M58)</f>
        <v>36</v>
      </c>
      <c r="P5" s="2" t="s">
        <v>459</v>
      </c>
      <c r="Q5" s="2" t="s">
        <v>404</v>
      </c>
      <c r="R5" s="44">
        <v>130</v>
      </c>
      <c r="S5" s="2" t="s">
        <v>206</v>
      </c>
      <c r="V5" t="str" cm="1">
        <f t="array" ref="V5:V40">_xlfn.UNIQUE(L5:L137)</f>
        <v>12 Ulu</v>
      </c>
    </row>
    <row r="6" spans="2:22" x14ac:dyDescent="0.5">
      <c r="B6" s="44">
        <f>IF(Table11[[#This Row],[Kelurahan]]="","",ROW(I2))</f>
        <v>2</v>
      </c>
      <c r="C6" s="52" t="s">
        <v>304</v>
      </c>
      <c r="D6" s="52" t="str">
        <f>INDEX(Table2[Kecamatan],MATCH(Table11[[#This Row],[Kelurahan]],Table2[Kelurahan],0))</f>
        <v>Kejuruan Muda</v>
      </c>
      <c r="E6" s="52" t="str">
        <f>INDEX(Table2[Kabupaten/Kota],MATCH(Table11[[#This Row],[Kecamatan]],Table2[Kecamatan],0))</f>
        <v>Aceh Tamiang</v>
      </c>
      <c r="F6" s="52" t="str">
        <f>INDEX(Table2[Provinsi],MATCH(Table11[[#This Row],[Kab/Kota]],Table2[Kabupaten/Kota],0))</f>
        <v>Nangroe Aceh Darussalam</v>
      </c>
      <c r="G6" s="2" t="s">
        <v>199</v>
      </c>
      <c r="H6" s="59">
        <v>27</v>
      </c>
      <c r="L6" s="2" t="s">
        <v>61</v>
      </c>
      <c r="M6" s="2" t="str">
        <v>Tanjung Mancang</v>
      </c>
      <c r="N6" s="44">
        <v>8</v>
      </c>
      <c r="P6" s="2" t="s">
        <v>3</v>
      </c>
      <c r="Q6" s="2" t="s">
        <v>3</v>
      </c>
      <c r="R6" s="44">
        <v>34</v>
      </c>
      <c r="S6" s="2" t="s">
        <v>206</v>
      </c>
      <c r="V6" t="str">
        <v>16 Ilir</v>
      </c>
    </row>
    <row r="7" spans="2:22" x14ac:dyDescent="0.5">
      <c r="B7" s="44">
        <f>IF(Table11[[#This Row],[Kelurahan]]="","",ROW(I3))</f>
        <v>3</v>
      </c>
      <c r="C7" s="52" t="s">
        <v>96</v>
      </c>
      <c r="D7" s="52" t="str">
        <f>INDEX(Table2[Kecamatan],MATCH(Table11[[#This Row],[Kelurahan]],Table2[Kelurahan],0))</f>
        <v>Kertapati</v>
      </c>
      <c r="E7" s="52" t="str">
        <f>INDEX(Table2[Kabupaten/Kota],MATCH(Table11[[#This Row],[Kecamatan]],Table2[Kecamatan],0))</f>
        <v>Palembang</v>
      </c>
      <c r="F7" s="52" t="str">
        <f>INDEX(Table2[Provinsi],MATCH(Table11[[#This Row],[Kab/Kota]],Table2[Kabupaten/Kota],0))</f>
        <v>Sumatera Selatan</v>
      </c>
      <c r="G7" s="2" t="s">
        <v>199</v>
      </c>
      <c r="H7" s="59">
        <v>20</v>
      </c>
      <c r="L7" s="2" t="s">
        <v>122</v>
      </c>
      <c r="M7" s="2" t="str">
        <v>Karya Jaya</v>
      </c>
      <c r="N7" s="44">
        <v>20</v>
      </c>
      <c r="P7" s="2" t="s">
        <v>7</v>
      </c>
      <c r="Q7" s="2" t="s">
        <v>237</v>
      </c>
      <c r="R7" s="44">
        <v>61</v>
      </c>
      <c r="S7" s="2" t="s">
        <v>206</v>
      </c>
      <c r="V7" t="str">
        <v>16 Ulu</v>
      </c>
    </row>
    <row r="8" spans="2:22" x14ac:dyDescent="0.5">
      <c r="B8" s="44">
        <f>IF(Table11[[#This Row],[Kelurahan]]="","",ROW(I4))</f>
        <v>4</v>
      </c>
      <c r="C8" s="52" t="s">
        <v>322</v>
      </c>
      <c r="D8" s="52" t="str">
        <f>INDEX(Table2[Kecamatan],MATCH(Table11[[#This Row],[Kelurahan]],Table2[Kelurahan],0))</f>
        <v>Karang baru</v>
      </c>
      <c r="E8" s="52" t="str">
        <f>INDEX(Table2[Kabupaten/Kota],MATCH(Table11[[#This Row],[Kecamatan]],Table2[Kecamatan],0))</f>
        <v>Aceh Tamiang</v>
      </c>
      <c r="F8" s="52" t="str">
        <f>INDEX(Table2[Provinsi],MATCH(Table11[[#This Row],[Kab/Kota]],Table2[Kabupaten/Kota],0))</f>
        <v>Nangroe Aceh Darussalam</v>
      </c>
      <c r="G8" s="2" t="s">
        <v>199</v>
      </c>
      <c r="H8" s="59">
        <v>10</v>
      </c>
      <c r="L8" s="2" t="s">
        <v>224</v>
      </c>
      <c r="M8" s="2" t="str">
        <v>Paya Kulbi</v>
      </c>
      <c r="N8" s="44">
        <v>0</v>
      </c>
      <c r="P8" s="2" t="s">
        <v>9</v>
      </c>
      <c r="Q8" s="2" t="s">
        <v>356</v>
      </c>
      <c r="R8" s="44">
        <v>25</v>
      </c>
      <c r="S8" s="2" t="s">
        <v>206</v>
      </c>
      <c r="V8" t="str">
        <v>20 Ilir D-II</v>
      </c>
    </row>
    <row r="9" spans="2:22" x14ac:dyDescent="0.5">
      <c r="B9" s="44">
        <f>IF(Table11[[#This Row],[Kelurahan]]="","",ROW(I5))</f>
        <v>5</v>
      </c>
      <c r="C9" s="52" t="s">
        <v>82</v>
      </c>
      <c r="D9" s="52" t="str">
        <f>INDEX(Table2[Kecamatan],MATCH(Table11[[#This Row],[Kelurahan]],Table2[Kelurahan],0))</f>
        <v>Jakabaring</v>
      </c>
      <c r="E9" s="52" t="str">
        <f>INDEX(Table2[Kabupaten/Kota],MATCH(Table11[[#This Row],[Kecamatan]],Table2[Kecamatan],0))</f>
        <v>Palembang</v>
      </c>
      <c r="F9" s="52" t="str">
        <f>INDEX(Table2[Provinsi],MATCH(Table11[[#This Row],[Kab/Kota]],Table2[Kabupaten/Kota],0))</f>
        <v>Sumatera Selatan</v>
      </c>
      <c r="G9" s="2" t="s">
        <v>199</v>
      </c>
      <c r="H9" s="59">
        <v>9</v>
      </c>
      <c r="L9" s="2" t="s">
        <v>224</v>
      </c>
      <c r="M9" s="2" t="str">
        <v>9/10 Ulu</v>
      </c>
      <c r="N9" s="44">
        <v>9</v>
      </c>
      <c r="P9" s="2" t="s">
        <v>9</v>
      </c>
      <c r="Q9" s="2" t="s">
        <v>357</v>
      </c>
      <c r="R9" s="44">
        <v>39</v>
      </c>
      <c r="S9" s="2" t="s">
        <v>206</v>
      </c>
      <c r="V9" t="str">
        <v>24 Ilir</v>
      </c>
    </row>
    <row r="10" spans="2:22" x14ac:dyDescent="0.5">
      <c r="B10" s="44">
        <f>IF(Table11[[#This Row],[Kelurahan]]="","",ROW(I6))</f>
        <v>6</v>
      </c>
      <c r="C10" s="52" t="s">
        <v>376</v>
      </c>
      <c r="D10" s="52" t="str">
        <f>INDEX(Table2[Kecamatan],MATCH(Table11[[#This Row],[Kelurahan]],Table2[Kelurahan],0))</f>
        <v>Sekerak</v>
      </c>
      <c r="E10" s="52" t="str">
        <f>INDEX(Table2[Kabupaten/Kota],MATCH(Table11[[#This Row],[Kecamatan]],Table2[Kecamatan],0))</f>
        <v>Aceh Tamiang</v>
      </c>
      <c r="F10" s="52" t="str">
        <f>INDEX(Table2[Provinsi],MATCH(Table11[[#This Row],[Kab/Kota]],Table2[Kabupaten/Kota],0))</f>
        <v>Nangroe Aceh Darussalam</v>
      </c>
      <c r="G10" s="2" t="s">
        <v>199</v>
      </c>
      <c r="H10" s="59">
        <v>9</v>
      </c>
      <c r="L10" s="2" t="s">
        <v>38</v>
      </c>
      <c r="M10" s="2" t="str">
        <v>Sekerak Kanan</v>
      </c>
      <c r="N10" s="44">
        <v>1</v>
      </c>
      <c r="P10" s="2" t="s">
        <v>246</v>
      </c>
      <c r="Q10" s="2" t="s">
        <v>489</v>
      </c>
      <c r="R10" s="44">
        <v>1</v>
      </c>
      <c r="S10" s="2" t="s">
        <v>207</v>
      </c>
      <c r="V10" t="str">
        <v>26 Ilir</v>
      </c>
    </row>
    <row r="11" spans="2:22" x14ac:dyDescent="0.5">
      <c r="B11" s="44">
        <f>IF(Table11[[#This Row],[Kelurahan]]="","",ROW(I7))</f>
        <v>7</v>
      </c>
      <c r="C11" s="52" t="s">
        <v>40</v>
      </c>
      <c r="D11" s="52" t="str">
        <f>INDEX(Table2[Kecamatan],MATCH(Table11[[#This Row],[Kelurahan]],Table2[Kelurahan],0))</f>
        <v>Bukit Kecil</v>
      </c>
      <c r="E11" s="52" t="str">
        <f>INDEX(Table2[Kabupaten/Kota],MATCH(Table11[[#This Row],[Kecamatan]],Table2[Kecamatan],0))</f>
        <v>Palembang</v>
      </c>
      <c r="F11" s="52" t="str">
        <f>INDEX(Table2[Provinsi],MATCH(Table11[[#This Row],[Kab/Kota]],Table2[Kabupaten/Kota],0))</f>
        <v>Sumatera Selatan</v>
      </c>
      <c r="G11" s="2" t="s">
        <v>199</v>
      </c>
      <c r="H11" s="59">
        <v>8</v>
      </c>
      <c r="L11" s="2" t="s">
        <v>39</v>
      </c>
      <c r="M11" s="2" t="str">
        <v>Talang Semut</v>
      </c>
      <c r="N11" s="44">
        <v>3</v>
      </c>
      <c r="P11" s="2" t="s">
        <v>246</v>
      </c>
      <c r="Q11" s="2" t="s">
        <v>494</v>
      </c>
      <c r="R11" s="44">
        <v>1</v>
      </c>
      <c r="S11" s="2" t="s">
        <v>207</v>
      </c>
      <c r="V11" t="str">
        <v>8 Ilir</v>
      </c>
    </row>
    <row r="12" spans="2:22" x14ac:dyDescent="0.5">
      <c r="B12" s="44">
        <f>IF(Table11[[#This Row],[Kelurahan]]="","",ROW(I8))</f>
        <v>8</v>
      </c>
      <c r="C12" s="52" t="s">
        <v>370</v>
      </c>
      <c r="D12" s="52" t="str">
        <f>INDEX(Table2[Kecamatan],MATCH(Table11[[#This Row],[Kelurahan]],Table2[Kelurahan],0))</f>
        <v>Serba Jadi</v>
      </c>
      <c r="E12" s="52" t="str">
        <f>INDEX(Table2[Kabupaten/Kota],MATCH(Table11[[#This Row],[Kecamatan]],Table2[Kecamatan],0))</f>
        <v>Aceh Timur</v>
      </c>
      <c r="F12" s="52" t="str">
        <f>INDEX(Table2[Provinsi],MATCH(Table11[[#This Row],[Kab/Kota]],Table2[Kabupaten/Kota],0))</f>
        <v>Nangroe Aceh Darussalam</v>
      </c>
      <c r="G12" s="2" t="s">
        <v>199</v>
      </c>
      <c r="H12" s="59">
        <v>6</v>
      </c>
      <c r="L12" s="2" t="s">
        <v>39</v>
      </c>
      <c r="M12" s="2" t="str">
        <v>Umah Taring</v>
      </c>
      <c r="N12" s="44">
        <v>0</v>
      </c>
      <c r="P12" s="2" t="s">
        <v>246</v>
      </c>
      <c r="Q12" s="2" t="s">
        <v>498</v>
      </c>
      <c r="R12" s="44">
        <v>1</v>
      </c>
      <c r="S12" s="2" t="s">
        <v>207</v>
      </c>
      <c r="V12" t="str">
        <v>9/10 Ulu</v>
      </c>
    </row>
    <row r="13" spans="2:22" x14ac:dyDescent="0.5">
      <c r="B13" s="44">
        <f>IF(Table11[[#This Row],[Kelurahan]]="","",ROW(I9))</f>
        <v>9</v>
      </c>
      <c r="C13" s="52" t="s">
        <v>75</v>
      </c>
      <c r="D13" s="52" t="str">
        <f>INDEX(Table2[Kecamatan],MATCH(Table11[[#This Row],[Kelurahan]],Table2[Kelurahan],0))</f>
        <v>Ilir Timur III</v>
      </c>
      <c r="E13" s="52" t="str">
        <f>INDEX(Table2[Kabupaten/Kota],MATCH(Table11[[#This Row],[Kecamatan]],Table2[Kecamatan],0))</f>
        <v>Palembang</v>
      </c>
      <c r="F13" s="52" t="str">
        <f>INDEX(Table2[Provinsi],MATCH(Table11[[#This Row],[Kab/Kota]],Table2[Kabupaten/Kota],0))</f>
        <v>Sumatera Selatan</v>
      </c>
      <c r="G13" s="2" t="s">
        <v>199</v>
      </c>
      <c r="H13" s="59">
        <v>5</v>
      </c>
      <c r="L13" s="2" t="s">
        <v>75</v>
      </c>
      <c r="M13" s="2" t="str">
        <v>8 Ilir</v>
      </c>
      <c r="N13" s="44">
        <v>5</v>
      </c>
      <c r="P13" s="2" t="s">
        <v>246</v>
      </c>
      <c r="Q13" s="2" t="s">
        <v>496</v>
      </c>
      <c r="R13" s="44">
        <v>1</v>
      </c>
      <c r="S13" s="2" t="s">
        <v>207</v>
      </c>
      <c r="V13" t="str">
        <v>Alur Cucur</v>
      </c>
    </row>
    <row r="14" spans="2:22" x14ac:dyDescent="0.5">
      <c r="B14" s="44">
        <f>IF(Table11[[#This Row],[Kelurahan]]="","",ROW(I10))</f>
        <v>10</v>
      </c>
      <c r="C14" s="52" t="s">
        <v>47</v>
      </c>
      <c r="D14" s="52" t="str">
        <f>INDEX(Table2[Kecamatan],MATCH(Table11[[#This Row],[Kelurahan]],Table2[Kelurahan],0))</f>
        <v>Ilir Barat I</v>
      </c>
      <c r="E14" s="52" t="str">
        <f>INDEX(Table2[Kabupaten/Kota],MATCH(Table11[[#This Row],[Kecamatan]],Table2[Kecamatan],0))</f>
        <v>Palembang</v>
      </c>
      <c r="F14" s="52" t="str">
        <f>INDEX(Table2[Provinsi],MATCH(Table11[[#This Row],[Kab/Kota]],Table2[Kabupaten/Kota],0))</f>
        <v>Sumatera Selatan</v>
      </c>
      <c r="G14" s="2" t="s">
        <v>199</v>
      </c>
      <c r="H14" s="59">
        <v>5</v>
      </c>
      <c r="L14" s="2" t="s">
        <v>75</v>
      </c>
      <c r="M14" s="2" t="str">
        <v>Bukit Lama</v>
      </c>
      <c r="N14" s="44">
        <v>5</v>
      </c>
      <c r="P14" s="2" t="s">
        <v>246</v>
      </c>
      <c r="Q14" s="2" t="s">
        <v>482</v>
      </c>
      <c r="R14" s="44">
        <v>1</v>
      </c>
      <c r="S14" s="2" t="s">
        <v>207</v>
      </c>
      <c r="V14" t="str">
        <v>Bukit Baru</v>
      </c>
    </row>
    <row r="15" spans="2:22" x14ac:dyDescent="0.5">
      <c r="B15" s="44">
        <f>IF(Table11[[#This Row],[Kelurahan]]="","",ROW(I11))</f>
        <v>11</v>
      </c>
      <c r="C15" s="52" t="s">
        <v>48</v>
      </c>
      <c r="D15" s="52" t="str">
        <f>INDEX(Table2[Kecamatan],MATCH(Table11[[#This Row],[Kelurahan]],Table2[Kelurahan],0))</f>
        <v>Ilir Barat I</v>
      </c>
      <c r="E15" s="52" t="str">
        <f>INDEX(Table2[Kabupaten/Kota],MATCH(Table11[[#This Row],[Kecamatan]],Table2[Kecamatan],0))</f>
        <v>Palembang</v>
      </c>
      <c r="F15" s="52" t="str">
        <f>INDEX(Table2[Provinsi],MATCH(Table11[[#This Row],[Kab/Kota]],Table2[Kabupaten/Kota],0))</f>
        <v>Sumatera Selatan</v>
      </c>
      <c r="G15" s="2" t="s">
        <v>199</v>
      </c>
      <c r="H15" s="59">
        <v>5</v>
      </c>
      <c r="L15" s="2" t="s">
        <v>75</v>
      </c>
      <c r="M15" s="2" t="str">
        <v>Demang Lebar Daun</v>
      </c>
      <c r="N15" s="44">
        <v>5</v>
      </c>
      <c r="P15" s="2" t="s">
        <v>246</v>
      </c>
      <c r="Q15" s="2" t="s">
        <v>485</v>
      </c>
      <c r="R15" s="44">
        <v>1</v>
      </c>
      <c r="S15" s="2" t="s">
        <v>207</v>
      </c>
      <c r="V15" t="str">
        <v>Bukit Lama</v>
      </c>
    </row>
    <row r="16" spans="2:22" x14ac:dyDescent="0.5">
      <c r="B16" s="44">
        <f>IF(Table11[[#This Row],[Kelurahan]]="","",ROW(I12))</f>
        <v>12</v>
      </c>
      <c r="C16" s="52" t="s">
        <v>49</v>
      </c>
      <c r="D16" s="52" t="str">
        <f>INDEX(Table2[Kecamatan],MATCH(Table11[[#This Row],[Kelurahan]],Table2[Kelurahan],0))</f>
        <v>Ilir Barat I</v>
      </c>
      <c r="E16" s="52" t="str">
        <f>INDEX(Table2[Kabupaten/Kota],MATCH(Table11[[#This Row],[Kecamatan]],Table2[Kecamatan],0))</f>
        <v>Palembang</v>
      </c>
      <c r="F16" s="52" t="str">
        <f>INDEX(Table2[Provinsi],MATCH(Table11[[#This Row],[Kab/Kota]],Table2[Kabupaten/Kota],0))</f>
        <v>Sumatera Selatan</v>
      </c>
      <c r="G16" s="2" t="s">
        <v>199</v>
      </c>
      <c r="H16" s="59">
        <v>4</v>
      </c>
      <c r="L16" s="2" t="s">
        <v>75</v>
      </c>
      <c r="M16" s="2" t="str">
        <v>Lorok Pakjo</v>
      </c>
      <c r="N16" s="44">
        <v>4</v>
      </c>
      <c r="P16" s="2" t="s">
        <v>246</v>
      </c>
      <c r="Q16" s="2" t="s">
        <v>492</v>
      </c>
      <c r="R16" s="44">
        <v>1</v>
      </c>
      <c r="S16" s="2" t="s">
        <v>207</v>
      </c>
      <c r="V16" t="str">
        <v>Demang Lebar Daun</v>
      </c>
    </row>
    <row r="17" spans="2:22" x14ac:dyDescent="0.5">
      <c r="B17" s="44">
        <f>IF(Table11[[#This Row],[Kelurahan]]="","",ROW(I13))</f>
        <v>13</v>
      </c>
      <c r="C17" s="52" t="s">
        <v>104</v>
      </c>
      <c r="D17" s="52" t="str">
        <f>INDEX(Table2[Kecamatan],MATCH(Table11[[#This Row],[Kelurahan]],Table2[Kelurahan],0))</f>
        <v>Plaju</v>
      </c>
      <c r="E17" s="52" t="str">
        <f>INDEX(Table2[Kabupaten/Kota],MATCH(Table11[[#This Row],[Kecamatan]],Table2[Kecamatan],0))</f>
        <v>Palembang</v>
      </c>
      <c r="F17" s="52" t="str">
        <f>INDEX(Table2[Provinsi],MATCH(Table11[[#This Row],[Kab/Kota]],Table2[Kabupaten/Kota],0))</f>
        <v>Sumatera Selatan</v>
      </c>
      <c r="G17" s="2" t="s">
        <v>199</v>
      </c>
      <c r="H17" s="59">
        <v>4</v>
      </c>
      <c r="L17" s="2" t="s">
        <v>75</v>
      </c>
      <c r="M17" s="2" t="str">
        <v>Plaju Darat</v>
      </c>
      <c r="N17" s="44">
        <v>2</v>
      </c>
      <c r="P17" s="2" t="s">
        <v>246</v>
      </c>
      <c r="Q17" s="2" t="s">
        <v>487</v>
      </c>
      <c r="R17" s="44">
        <v>1</v>
      </c>
      <c r="S17" s="2" t="s">
        <v>207</v>
      </c>
      <c r="V17" t="str">
        <v>Kalidoni</v>
      </c>
    </row>
    <row r="18" spans="2:22" x14ac:dyDescent="0.5">
      <c r="B18" s="44">
        <f>IF(Table11[[#This Row],[Kelurahan]]="","",ROW(I14))</f>
        <v>14</v>
      </c>
      <c r="C18" s="52" t="s">
        <v>367</v>
      </c>
      <c r="D18" s="52" t="str">
        <f>INDEX(Table2[Kecamatan],MATCH(Table11[[#This Row],[Kelurahan]],Table2[Kelurahan],0))</f>
        <v>Karang baru</v>
      </c>
      <c r="E18" s="52" t="str">
        <f>INDEX(Table2[Kabupaten/Kota],MATCH(Table11[[#This Row],[Kecamatan]],Table2[Kecamatan],0))</f>
        <v>Aceh Tamiang</v>
      </c>
      <c r="F18" s="52" t="str">
        <f>INDEX(Table2[Provinsi],MATCH(Table11[[#This Row],[Kab/Kota]],Table2[Kabupaten/Kota],0))</f>
        <v>Nangroe Aceh Darussalam</v>
      </c>
      <c r="G18" s="2" t="s">
        <v>199</v>
      </c>
      <c r="H18" s="59">
        <v>4</v>
      </c>
      <c r="L18" s="2" t="s">
        <v>82</v>
      </c>
      <c r="M18" s="2" t="str">
        <v>Sukajadi Paya Bujuk</v>
      </c>
      <c r="N18" s="44">
        <v>0</v>
      </c>
      <c r="P18" s="2" t="s">
        <v>246</v>
      </c>
      <c r="Q18" s="2" t="s">
        <v>490</v>
      </c>
      <c r="R18" s="44">
        <v>1</v>
      </c>
      <c r="S18" s="2" t="s">
        <v>207</v>
      </c>
      <c r="V18" t="str">
        <v>Karya Baru</v>
      </c>
    </row>
    <row r="19" spans="2:22" x14ac:dyDescent="0.5">
      <c r="B19" s="44">
        <f>IF(Table11[[#This Row],[Kelurahan]]="","",ROW(I15))</f>
        <v>15</v>
      </c>
      <c r="C19" s="52" t="s">
        <v>97</v>
      </c>
      <c r="D19" s="52" t="str">
        <f>INDEX(Table2[Kecamatan],MATCH(Table11[[#This Row],[Kelurahan]],Table2[Kelurahan],0))</f>
        <v>Kertapati</v>
      </c>
      <c r="E19" s="52" t="str">
        <f>INDEX(Table2[Kabupaten/Kota],MATCH(Table11[[#This Row],[Kecamatan]],Table2[Kecamatan],0))</f>
        <v>Palembang</v>
      </c>
      <c r="F19" s="52" t="str">
        <f>INDEX(Table2[Provinsi],MATCH(Table11[[#This Row],[Kab/Kota]],Table2[Kabupaten/Kota],0))</f>
        <v>Sumatera Selatan</v>
      </c>
      <c r="G19" s="2" t="s">
        <v>199</v>
      </c>
      <c r="H19" s="59">
        <v>3</v>
      </c>
      <c r="L19" s="2" t="s">
        <v>82</v>
      </c>
      <c r="M19" s="2" t="str">
        <v>Kemang Agung</v>
      </c>
      <c r="N19" s="44">
        <v>3</v>
      </c>
      <c r="P19" s="2" t="s">
        <v>246</v>
      </c>
      <c r="Q19" s="2" t="s">
        <v>499</v>
      </c>
      <c r="R19" s="44">
        <v>1</v>
      </c>
      <c r="S19" s="2" t="s">
        <v>207</v>
      </c>
      <c r="V19" t="str">
        <v>Karya Jaya</v>
      </c>
    </row>
    <row r="20" spans="2:22" x14ac:dyDescent="0.5">
      <c r="B20" s="44">
        <f>IF(Table11[[#This Row],[Kelurahan]]="","",ROW(I16))</f>
        <v>16</v>
      </c>
      <c r="C20" s="52" t="s">
        <v>166</v>
      </c>
      <c r="D20" s="52" t="str">
        <f>INDEX(Table2[Kecamatan],MATCH(Table11[[#This Row],[Kelurahan]],Table2[Kelurahan],0))</f>
        <v>Talang Kelapa</v>
      </c>
      <c r="E20" s="52" t="str">
        <f>INDEX(Table2[Kabupaten/Kota],MATCH(Table11[[#This Row],[Kecamatan]],Table2[Kecamatan],0))</f>
        <v>Banyuasin</v>
      </c>
      <c r="F20" s="52" t="str">
        <f>INDEX(Table2[Provinsi],MATCH(Table11[[#This Row],[Kab/Kota]],Table2[Kabupaten/Kota],0))</f>
        <v>Sumatera Selatan</v>
      </c>
      <c r="G20" s="2" t="s">
        <v>199</v>
      </c>
      <c r="H20" s="59">
        <v>3</v>
      </c>
      <c r="L20" s="2" t="s">
        <v>82</v>
      </c>
      <c r="M20" s="2" t="str">
        <v>Kenten Laut</v>
      </c>
      <c r="N20" s="44">
        <v>3</v>
      </c>
      <c r="P20" s="2" t="s">
        <v>246</v>
      </c>
      <c r="Q20" s="2" t="s">
        <v>483</v>
      </c>
      <c r="R20" s="44">
        <v>1</v>
      </c>
      <c r="S20" s="2" t="s">
        <v>207</v>
      </c>
      <c r="V20" t="str">
        <v>Kemang Agung</v>
      </c>
    </row>
    <row r="21" spans="2:22" x14ac:dyDescent="0.5">
      <c r="B21" s="44">
        <f>IF(Table11[[#This Row],[Kelurahan]]="","",ROW(I17))</f>
        <v>17</v>
      </c>
      <c r="C21" s="52" t="s">
        <v>368</v>
      </c>
      <c r="D21" s="52" t="str">
        <f>INDEX(Table2[Kecamatan],MATCH(Table11[[#This Row],[Kelurahan]],Table2[Kelurahan],0))</f>
        <v>Kejuruan Muda</v>
      </c>
      <c r="E21" s="52" t="str">
        <f>INDEX(Table2[Kabupaten/Kota],MATCH(Table11[[#This Row],[Kecamatan]],Table2[Kecamatan],0))</f>
        <v>Aceh Tamiang</v>
      </c>
      <c r="F21" s="52" t="str">
        <f>INDEX(Table2[Provinsi],MATCH(Table11[[#This Row],[Kab/Kota]],Table2[Kabupaten/Kota],0))</f>
        <v>Nangroe Aceh Darussalam</v>
      </c>
      <c r="G21" s="2" t="s">
        <v>199</v>
      </c>
      <c r="H21" s="59">
        <v>3</v>
      </c>
      <c r="L21" s="2" t="s">
        <v>82</v>
      </c>
      <c r="M21" s="2" t="str">
        <v>Sungai Liput</v>
      </c>
      <c r="N21" s="44">
        <v>0</v>
      </c>
      <c r="P21" s="2" t="s">
        <v>9</v>
      </c>
      <c r="Q21" s="2" t="s">
        <v>424</v>
      </c>
      <c r="R21" s="44">
        <v>40</v>
      </c>
      <c r="S21" s="2" t="s">
        <v>207</v>
      </c>
      <c r="V21" t="str">
        <v>Kenten Laut</v>
      </c>
    </row>
    <row r="22" spans="2:22" x14ac:dyDescent="0.5">
      <c r="B22" s="44">
        <f>IF(Table11[[#This Row],[Kelurahan]]="","",ROW(I18))</f>
        <v>18</v>
      </c>
      <c r="C22" s="52" t="s">
        <v>68</v>
      </c>
      <c r="D22" s="52" t="str">
        <f>INDEX(Table2[Kecamatan],MATCH(Table11[[#This Row],[Kelurahan]],Table2[Kelurahan],0))</f>
        <v>Ilir Timur I</v>
      </c>
      <c r="E22" s="52" t="str">
        <f>INDEX(Table2[Kabupaten/Kota],MATCH(Table11[[#This Row],[Kecamatan]],Table2[Kecamatan],0))</f>
        <v>Palembang</v>
      </c>
      <c r="F22" s="52" t="str">
        <f>INDEX(Table2[Provinsi],MATCH(Table11[[#This Row],[Kab/Kota]],Table2[Kabupaten/Kota],0))</f>
        <v>Sumatera Selatan</v>
      </c>
      <c r="G22" s="2" t="s">
        <v>199</v>
      </c>
      <c r="H22" s="59">
        <v>3</v>
      </c>
      <c r="L22" s="2" t="s">
        <v>82</v>
      </c>
      <c r="M22" s="2" t="str">
        <v>Sungai Pangeran</v>
      </c>
      <c r="N22" s="44">
        <v>2</v>
      </c>
      <c r="P22" s="2" t="s">
        <v>9</v>
      </c>
      <c r="Q22" s="2" t="s">
        <v>417</v>
      </c>
      <c r="R22" s="44">
        <v>17</v>
      </c>
      <c r="S22" s="2" t="s">
        <v>213</v>
      </c>
      <c r="V22" t="str">
        <v>Keramasan</v>
      </c>
    </row>
    <row r="23" spans="2:22" x14ac:dyDescent="0.5">
      <c r="B23" s="44">
        <f>IF(Table11[[#This Row],[Kelurahan]]="","",ROW(I19))</f>
        <v>19</v>
      </c>
      <c r="C23" s="52" t="s">
        <v>35</v>
      </c>
      <c r="D23" s="52" t="str">
        <f>INDEX(Table2[Kecamatan],MATCH(Table11[[#This Row],[Kelurahan]],Table2[Kelurahan],0))</f>
        <v>Alang-Alang Lebar</v>
      </c>
      <c r="E23" s="52" t="str">
        <f>INDEX(Table2[Kabupaten/Kota],MATCH(Table11[[#This Row],[Kecamatan]],Table2[Kecamatan],0))</f>
        <v>Palembang</v>
      </c>
      <c r="F23" s="52" t="str">
        <f>INDEX(Table2[Provinsi],MATCH(Table11[[#This Row],[Kab/Kota]],Table2[Kabupaten/Kota],0))</f>
        <v>Sumatera Selatan</v>
      </c>
      <c r="G23" s="2" t="s">
        <v>199</v>
      </c>
      <c r="H23" s="59">
        <v>3</v>
      </c>
      <c r="L23" s="2" t="s">
        <v>82</v>
      </c>
      <c r="M23" s="2" t="str">
        <v>Talang Kelapa</v>
      </c>
      <c r="N23" s="44">
        <v>0</v>
      </c>
      <c r="P23" s="2" t="s">
        <v>464</v>
      </c>
      <c r="Q23" s="2" t="s">
        <v>582</v>
      </c>
      <c r="R23" s="44">
        <v>150</v>
      </c>
      <c r="S23" s="2" t="s">
        <v>216</v>
      </c>
      <c r="V23" t="str">
        <v>Kertapati</v>
      </c>
    </row>
    <row r="24" spans="2:22" x14ac:dyDescent="0.5">
      <c r="B24" s="44">
        <f>IF(Table11[[#This Row],[Kelurahan]]="","",ROW(I20))</f>
        <v>20</v>
      </c>
      <c r="C24" s="52" t="s">
        <v>324</v>
      </c>
      <c r="D24" s="52" t="str">
        <f>INDEX(Table2[Kecamatan],MATCH(Table11[[#This Row],[Kelurahan]],Table2[Kelurahan],0))</f>
        <v>Karang baru</v>
      </c>
      <c r="E24" s="52" t="str">
        <f>INDEX(Table2[Kabupaten/Kota],MATCH(Table11[[#This Row],[Kecamatan]],Table2[Kecamatan],0))</f>
        <v>Aceh Tamiang</v>
      </c>
      <c r="F24" s="52" t="str">
        <f>INDEX(Table2[Provinsi],MATCH(Table11[[#This Row],[Kab/Kota]],Table2[Kabupaten/Kota],0))</f>
        <v>Nangroe Aceh Darussalam</v>
      </c>
      <c r="G24" s="2" t="s">
        <v>199</v>
      </c>
      <c r="H24" s="59">
        <v>3</v>
      </c>
      <c r="L24" s="2" t="s">
        <v>82</v>
      </c>
      <c r="M24" s="2" t="str">
        <v>Tanah Terban</v>
      </c>
      <c r="N24" s="44">
        <v>0</v>
      </c>
      <c r="P24" s="2" t="s">
        <v>464</v>
      </c>
      <c r="Q24" s="2" t="s">
        <v>466</v>
      </c>
      <c r="R24" s="44">
        <v>150</v>
      </c>
      <c r="S24" s="2" t="s">
        <v>216</v>
      </c>
      <c r="V24" t="str">
        <v>Lorok Pakjo</v>
      </c>
    </row>
    <row r="25" spans="2:22" x14ac:dyDescent="0.5">
      <c r="B25" s="44">
        <f>IF(Table11[[#This Row],[Kelurahan]]="","",ROW(I21))</f>
        <v>21</v>
      </c>
      <c r="C25" s="52" t="s">
        <v>224</v>
      </c>
      <c r="D25" s="52" t="str">
        <f>INDEX(Table2[Kecamatan],MATCH(Table11[[#This Row],[Kelurahan]],Table2[Kelurahan],0))</f>
        <v>Kemuning</v>
      </c>
      <c r="E25" s="52" t="str">
        <f>INDEX(Table2[Kabupaten/Kota],MATCH(Table11[[#This Row],[Kecamatan]],Table2[Kecamatan],0))</f>
        <v>Palembang</v>
      </c>
      <c r="F25" s="52" t="str">
        <f>INDEX(Table2[Provinsi],MATCH(Table11[[#This Row],[Kab/Kota]],Table2[Kabupaten/Kota],0))</f>
        <v>Sumatera Selatan</v>
      </c>
      <c r="G25" s="2" t="s">
        <v>199</v>
      </c>
      <c r="H25" s="59">
        <v>2</v>
      </c>
      <c r="L25" s="2" t="s">
        <v>82</v>
      </c>
      <c r="M25" s="2" t="str">
        <v>20 Ilir D-II</v>
      </c>
      <c r="N25" s="44">
        <v>2</v>
      </c>
      <c r="P25" s="2" t="s">
        <v>464</v>
      </c>
      <c r="Q25" s="2" t="s">
        <v>472</v>
      </c>
      <c r="R25" s="44">
        <v>150</v>
      </c>
      <c r="S25" s="2" t="s">
        <v>216</v>
      </c>
      <c r="V25" t="str">
        <v>Muara Penimbung Ilir</v>
      </c>
    </row>
    <row r="26" spans="2:22" x14ac:dyDescent="0.5">
      <c r="B26" s="44">
        <f>IF(Table11[[#This Row],[Kelurahan]]="","",ROW(I22))</f>
        <v>22</v>
      </c>
      <c r="C26" s="52" t="s">
        <v>39</v>
      </c>
      <c r="D26" s="52" t="str">
        <f>INDEX(Table2[Kecamatan],MATCH(Table11[[#This Row],[Kelurahan]],Table2[Kelurahan],0))</f>
        <v>Bukit Kecil</v>
      </c>
      <c r="E26" s="52" t="str">
        <f>INDEX(Table2[Kabupaten/Kota],MATCH(Table11[[#This Row],[Kecamatan]],Table2[Kecamatan],0))</f>
        <v>Palembang</v>
      </c>
      <c r="F26" s="52" t="str">
        <f>INDEX(Table2[Provinsi],MATCH(Table11[[#This Row],[Kab/Kota]],Table2[Kabupaten/Kota],0))</f>
        <v>Sumatera Selatan</v>
      </c>
      <c r="G26" s="2" t="s">
        <v>199</v>
      </c>
      <c r="H26" s="59">
        <v>2</v>
      </c>
      <c r="L26" s="2" t="s">
        <v>82</v>
      </c>
      <c r="M26" s="2" t="str">
        <v>26 Ilir</v>
      </c>
      <c r="N26" s="44">
        <v>2</v>
      </c>
      <c r="P26" s="2" t="s">
        <v>464</v>
      </c>
      <c r="Q26" s="2" t="s">
        <v>547</v>
      </c>
      <c r="R26" s="44">
        <v>150</v>
      </c>
      <c r="S26" s="2" t="s">
        <v>216</v>
      </c>
      <c r="V26" t="str">
        <v>Plaju Darat</v>
      </c>
    </row>
    <row r="27" spans="2:22" x14ac:dyDescent="0.5">
      <c r="B27" s="44">
        <f>IF(Table11[[#This Row],[Kelurahan]]="","",ROW(I23))</f>
        <v>23</v>
      </c>
      <c r="C27" s="52" t="s">
        <v>323</v>
      </c>
      <c r="D27" s="52" t="str">
        <f>INDEX(Table2[Kecamatan],MATCH(Table11[[#This Row],[Kelurahan]],Table2[Kelurahan],0))</f>
        <v>Rantau</v>
      </c>
      <c r="E27" s="52" t="str">
        <f>INDEX(Table2[Kabupaten/Kota],MATCH(Table11[[#This Row],[Kecamatan]],Table2[Kecamatan],0))</f>
        <v>Aceh Tamiang</v>
      </c>
      <c r="F27" s="52" t="str">
        <f>INDEX(Table2[Provinsi],MATCH(Table11[[#This Row],[Kab/Kota]],Table2[Kabupaten/Kota],0))</f>
        <v>Nangroe Aceh Darussalam</v>
      </c>
      <c r="G27" s="2" t="s">
        <v>199</v>
      </c>
      <c r="H27" s="59">
        <v>2</v>
      </c>
      <c r="L27" s="2" t="s">
        <v>323</v>
      </c>
      <c r="M27" s="2" t="str">
        <v>Alur Cucur</v>
      </c>
      <c r="N27" s="44">
        <v>2</v>
      </c>
      <c r="P27" s="2" t="s">
        <v>444</v>
      </c>
      <c r="Q27" s="2" t="s">
        <v>447</v>
      </c>
      <c r="R27" s="44">
        <v>150</v>
      </c>
      <c r="S27" s="2" t="s">
        <v>211</v>
      </c>
      <c r="V27" t="str">
        <v>Sakatiga</v>
      </c>
    </row>
    <row r="28" spans="2:22" x14ac:dyDescent="0.5">
      <c r="B28" s="44">
        <f>IF(Table11[[#This Row],[Kelurahan]]="","",ROW(I24))</f>
        <v>24</v>
      </c>
      <c r="C28" s="52" t="s">
        <v>383</v>
      </c>
      <c r="D28" s="52" t="str">
        <f>INDEX(Table2[Kecamatan],MATCH(Table11[[#This Row],[Kelurahan]],Table2[Kelurahan],0))</f>
        <v>Kejuruan Muda</v>
      </c>
      <c r="E28" s="52" t="str">
        <f>INDEX(Table2[Kabupaten/Kota],MATCH(Table11[[#This Row],[Kecamatan]],Table2[Kecamatan],0))</f>
        <v>Aceh Tamiang</v>
      </c>
      <c r="F28" s="52" t="str">
        <f>INDEX(Table2[Provinsi],MATCH(Table11[[#This Row],[Kab/Kota]],Table2[Kabupaten/Kota],0))</f>
        <v>Nangroe Aceh Darussalam</v>
      </c>
      <c r="G28" s="2" t="s">
        <v>199</v>
      </c>
      <c r="H28" s="59">
        <v>2</v>
      </c>
      <c r="L28" s="2" t="s">
        <v>323</v>
      </c>
      <c r="M28" s="2" t="str">
        <v>Purwodadi</v>
      </c>
      <c r="N28" s="44">
        <v>0</v>
      </c>
      <c r="P28" s="2" t="s">
        <v>459</v>
      </c>
      <c r="Q28" s="2" t="s">
        <v>429</v>
      </c>
      <c r="R28" s="44">
        <v>100</v>
      </c>
      <c r="S28" s="2" t="s">
        <v>241</v>
      </c>
      <c r="V28" t="str">
        <v>Sekerak Kanan</v>
      </c>
    </row>
    <row r="29" spans="2:22" x14ac:dyDescent="0.5">
      <c r="B29" s="44">
        <f>IF(Table11[[#This Row],[Kelurahan]]="","",ROW(I25))</f>
        <v>25</v>
      </c>
      <c r="C29" s="52" t="s">
        <v>365</v>
      </c>
      <c r="D29" s="52" t="str">
        <f>INDEX(Table2[Kecamatan],MATCH(Table11[[#This Row],[Kelurahan]],Table2[Kelurahan],0))</f>
        <v>Tamiang Hulu</v>
      </c>
      <c r="E29" s="52" t="str">
        <f>INDEX(Table2[Kabupaten/Kota],MATCH(Table11[[#This Row],[Kecamatan]],Table2[Kecamatan],0))</f>
        <v>Aceh Tamiang</v>
      </c>
      <c r="F29" s="52" t="str">
        <f>INDEX(Table2[Provinsi],MATCH(Table11[[#This Row],[Kab/Kota]],Table2[Kabupaten/Kota],0))</f>
        <v>Nangroe Aceh Darussalam</v>
      </c>
      <c r="G29" s="2" t="s">
        <v>199</v>
      </c>
      <c r="H29" s="59">
        <v>2</v>
      </c>
      <c r="L29" s="2" t="s">
        <v>46</v>
      </c>
      <c r="M29" s="2" t="str">
        <v>Rongoh</v>
      </c>
      <c r="N29" s="44">
        <v>0</v>
      </c>
      <c r="P29" s="2" t="s">
        <v>319</v>
      </c>
      <c r="Q29" s="2" t="s">
        <v>438</v>
      </c>
      <c r="R29" s="44">
        <v>50</v>
      </c>
      <c r="S29" s="2" t="s">
        <v>220</v>
      </c>
      <c r="V29" t="str">
        <v>Sialang</v>
      </c>
    </row>
    <row r="30" spans="2:22" x14ac:dyDescent="0.5">
      <c r="B30" s="44">
        <f>IF(Table11[[#This Row],[Kelurahan]]="","",ROW(I26))</f>
        <v>26</v>
      </c>
      <c r="C30" s="52" t="s">
        <v>248</v>
      </c>
      <c r="D30" s="52" t="str">
        <f>INDEX(Table2[Kecamatan],MATCH(Table11[[#This Row],[Kelurahan]],Table2[Kelurahan],0))</f>
        <v>Indralaya</v>
      </c>
      <c r="E30" s="52" t="str">
        <f>INDEX(Table2[Kabupaten/Kota],MATCH(Table11[[#This Row],[Kecamatan]],Table2[Kecamatan],0))</f>
        <v>Ogan Ilir</v>
      </c>
      <c r="F30" s="52" t="str">
        <f>INDEX(Table2[Provinsi],MATCH(Table11[[#This Row],[Kab/Kota]],Table2[Kabupaten/Kota],0))</f>
        <v>Sumatera Selatan</v>
      </c>
      <c r="G30" s="2" t="s">
        <v>199</v>
      </c>
      <c r="H30" s="59">
        <v>2</v>
      </c>
      <c r="L30" s="2" t="s">
        <v>47</v>
      </c>
      <c r="M30" s="2" t="str">
        <v>Sakatiga</v>
      </c>
      <c r="N30" s="44">
        <v>2</v>
      </c>
      <c r="P30" s="2" t="s">
        <v>245</v>
      </c>
      <c r="Q30" s="2" t="s">
        <v>476</v>
      </c>
      <c r="R30" s="44">
        <v>1000</v>
      </c>
      <c r="S30" s="2" t="s">
        <v>220</v>
      </c>
      <c r="V30" t="str">
        <v>Silaberanti</v>
      </c>
    </row>
    <row r="31" spans="2:22" x14ac:dyDescent="0.5">
      <c r="B31" s="44">
        <f>IF(Table11[[#This Row],[Kelurahan]]="","",ROW(I27))</f>
        <v>27</v>
      </c>
      <c r="C31" s="52" t="s">
        <v>379</v>
      </c>
      <c r="D31" s="52" t="str">
        <f>INDEX(Table2[Kecamatan],MATCH(Table11[[#This Row],[Kelurahan]],Table2[Kelurahan],0))</f>
        <v>Bandar Mulia</v>
      </c>
      <c r="E31" s="52" t="str">
        <f>INDEX(Table2[Kabupaten/Kota],MATCH(Table11[[#This Row],[Kecamatan]],Table2[Kecamatan],0))</f>
        <v>Aceh Tamiang</v>
      </c>
      <c r="F31" s="52" t="str">
        <f>INDEX(Table2[Provinsi],MATCH(Table11[[#This Row],[Kab/Kota]],Table2[Kabupaten/Kota],0))</f>
        <v>Nangroe Aceh Darussalam</v>
      </c>
      <c r="G31" s="2" t="s">
        <v>199</v>
      </c>
      <c r="H31" s="59">
        <v>2</v>
      </c>
      <c r="L31" s="2" t="s">
        <v>47</v>
      </c>
      <c r="M31" s="2" t="str">
        <v>Sukajadi</v>
      </c>
      <c r="N31" s="44">
        <v>0</v>
      </c>
      <c r="P31" s="2" t="s">
        <v>245</v>
      </c>
      <c r="Q31" s="2" t="s">
        <v>425</v>
      </c>
      <c r="R31" s="44">
        <v>1000</v>
      </c>
      <c r="S31" s="2" t="s">
        <v>220</v>
      </c>
      <c r="V31" t="str">
        <v>Srijaya</v>
      </c>
    </row>
    <row r="32" spans="2:22" x14ac:dyDescent="0.5">
      <c r="B32" s="44">
        <f>IF(Table11[[#This Row],[Kelurahan]]="","",ROW(I28))</f>
        <v>28</v>
      </c>
      <c r="C32" s="52" t="s">
        <v>135</v>
      </c>
      <c r="D32" s="52" t="str">
        <f>INDEX(Table2[Kecamatan],MATCH(Table11[[#This Row],[Kelurahan]],Table2[Kelurahan],0))</f>
        <v>Sukarami</v>
      </c>
      <c r="E32" s="52" t="str">
        <f>INDEX(Table2[Kabupaten/Kota],MATCH(Table11[[#This Row],[Kecamatan]],Table2[Kecamatan],0))</f>
        <v>Palembang</v>
      </c>
      <c r="F32" s="52" t="str">
        <f>INDEX(Table2[Provinsi],MATCH(Table11[[#This Row],[Kab/Kota]],Table2[Kabupaten/Kota],0))</f>
        <v>Sumatera Selatan</v>
      </c>
      <c r="G32" s="2" t="s">
        <v>199</v>
      </c>
      <c r="H32" s="59">
        <v>2</v>
      </c>
      <c r="L32" s="2" t="s">
        <v>47</v>
      </c>
      <c r="M32" s="2" t="str">
        <v>Talang Jambe</v>
      </c>
      <c r="N32" s="44">
        <v>0</v>
      </c>
      <c r="P32" s="2" t="s">
        <v>245</v>
      </c>
      <c r="Q32" s="2" t="s">
        <v>541</v>
      </c>
      <c r="R32" s="44">
        <v>1000</v>
      </c>
      <c r="S32" s="2" t="s">
        <v>220</v>
      </c>
      <c r="V32" t="str">
        <v>Sukamaju</v>
      </c>
    </row>
    <row r="33" spans="2:22" x14ac:dyDescent="0.5">
      <c r="B33" s="44">
        <f>IF(Table11[[#This Row],[Kelurahan]]="","",ROW(I29))</f>
        <v>29</v>
      </c>
      <c r="C33" s="52" t="s">
        <v>531</v>
      </c>
      <c r="D33" s="52" t="str">
        <f>INDEX(Table2[Kecamatan],MATCH(Table11[[#This Row],[Kelurahan]],Table2[Kelurahan],0))</f>
        <v>Indralaya</v>
      </c>
      <c r="E33" s="52" t="str">
        <f>INDEX(Table2[Kabupaten/Kota],MATCH(Table11[[#This Row],[Kecamatan]],Table2[Kecamatan],0))</f>
        <v>Ogan Ilir</v>
      </c>
      <c r="F33" s="52" t="str">
        <f>INDEX(Table2[Provinsi],MATCH(Table11[[#This Row],[Kab/Kota]],Table2[Kabupaten/Kota],0))</f>
        <v>Sumatera Selatan</v>
      </c>
      <c r="G33" s="2" t="s">
        <v>199</v>
      </c>
      <c r="H33" s="59">
        <v>2</v>
      </c>
      <c r="L33" s="2" t="s">
        <v>47</v>
      </c>
      <c r="M33" s="2" t="str">
        <v>Tanjung Seteko</v>
      </c>
      <c r="N33" s="44">
        <v>2</v>
      </c>
      <c r="P33" s="2" t="s">
        <v>443</v>
      </c>
      <c r="Q33" s="2" t="s">
        <v>583</v>
      </c>
      <c r="R33" s="44">
        <v>100</v>
      </c>
      <c r="S33" s="2" t="s">
        <v>220</v>
      </c>
      <c r="V33" t="str">
        <v>Sungai Kedukan</v>
      </c>
    </row>
    <row r="34" spans="2:22" x14ac:dyDescent="0.5">
      <c r="B34" s="44">
        <f>IF(Table11[[#This Row],[Kelurahan]]="","",ROW(I30))</f>
        <v>30</v>
      </c>
      <c r="C34" s="52" t="s">
        <v>119</v>
      </c>
      <c r="D34" s="52" t="str">
        <f>INDEX(Table2[Kecamatan],MATCH(Table11[[#This Row],[Kelurahan]],Table2[Kelurahan],0))</f>
        <v>Seberang Ulu II</v>
      </c>
      <c r="E34" s="52" t="str">
        <f>INDEX(Table2[Kabupaten/Kota],MATCH(Table11[[#This Row],[Kecamatan]],Table2[Kecamatan],0))</f>
        <v>Palembang</v>
      </c>
      <c r="F34" s="52" t="str">
        <f>INDEX(Table2[Provinsi],MATCH(Table11[[#This Row],[Kab/Kota]],Table2[Kabupaten/Kota],0))</f>
        <v>Sumatera Selatan</v>
      </c>
      <c r="G34" s="2" t="s">
        <v>199</v>
      </c>
      <c r="H34" s="59">
        <v>1</v>
      </c>
      <c r="L34" s="2" t="s">
        <v>47</v>
      </c>
      <c r="M34" s="2" t="str">
        <v>12 Ulu</v>
      </c>
      <c r="N34" s="44">
        <v>1</v>
      </c>
      <c r="P34" s="2" t="s">
        <v>9</v>
      </c>
      <c r="Q34" s="2" t="s">
        <v>442</v>
      </c>
      <c r="R34" s="44">
        <v>600</v>
      </c>
      <c r="S34" s="2" t="s">
        <v>220</v>
      </c>
      <c r="V34" t="str">
        <v>Sungai Pangeran</v>
      </c>
    </row>
    <row r="35" spans="2:22" x14ac:dyDescent="0.5">
      <c r="B35" s="44">
        <f>IF(Table11[[#This Row],[Kelurahan]]="","",ROW(I31))</f>
        <v>31</v>
      </c>
      <c r="C35" s="52" t="s">
        <v>61</v>
      </c>
      <c r="D35" s="52" t="str">
        <f>INDEX(Table2[Kecamatan],MATCH(Table11[[#This Row],[Kelurahan]],Table2[Kelurahan],0))</f>
        <v>Ilir Timur I</v>
      </c>
      <c r="E35" s="52" t="str">
        <f>INDEX(Table2[Kabupaten/Kota],MATCH(Table11[[#This Row],[Kecamatan]],Table2[Kecamatan],0))</f>
        <v>Palembang</v>
      </c>
      <c r="F35" s="52" t="str">
        <f>INDEX(Table2[Provinsi],MATCH(Table11[[#This Row],[Kab/Kota]],Table2[Kabupaten/Kota],0))</f>
        <v>Sumatera Selatan</v>
      </c>
      <c r="G35" s="2" t="s">
        <v>199</v>
      </c>
      <c r="H35" s="59">
        <v>1</v>
      </c>
      <c r="L35" s="2" t="s">
        <v>48</v>
      </c>
      <c r="M35" s="2" t="str">
        <v>16 Ilir</v>
      </c>
      <c r="N35" s="44">
        <v>1</v>
      </c>
      <c r="P35" s="2" t="s">
        <v>9</v>
      </c>
      <c r="Q35" s="2" t="s">
        <v>419</v>
      </c>
      <c r="R35" s="44">
        <v>40</v>
      </c>
      <c r="S35" s="2" t="s">
        <v>220</v>
      </c>
      <c r="V35" t="str">
        <v>Talang Aur</v>
      </c>
    </row>
    <row r="36" spans="2:22" x14ac:dyDescent="0.5">
      <c r="B36" s="44">
        <f>IF(Table11[[#This Row],[Kelurahan]]="","",ROW(I32))</f>
        <v>32</v>
      </c>
      <c r="C36" s="52" t="s">
        <v>122</v>
      </c>
      <c r="D36" s="52" t="str">
        <f>INDEX(Table2[Kecamatan],MATCH(Table11[[#This Row],[Kelurahan]],Table2[Kelurahan],0))</f>
        <v>Seberang Ulu II</v>
      </c>
      <c r="E36" s="52" t="str">
        <f>INDEX(Table2[Kabupaten/Kota],MATCH(Table11[[#This Row],[Kecamatan]],Table2[Kecamatan],0))</f>
        <v>Palembang</v>
      </c>
      <c r="F36" s="52" t="str">
        <f>INDEX(Table2[Provinsi],MATCH(Table11[[#This Row],[Kab/Kota]],Table2[Kabupaten/Kota],0))</f>
        <v>Sumatera Selatan</v>
      </c>
      <c r="G36" s="2" t="s">
        <v>199</v>
      </c>
      <c r="H36" s="59">
        <v>1</v>
      </c>
      <c r="L36" s="2" t="s">
        <v>48</v>
      </c>
      <c r="M36" s="2" t="str">
        <v>16 Ulu</v>
      </c>
      <c r="N36" s="44">
        <v>1</v>
      </c>
      <c r="P36" s="2" t="s">
        <v>9</v>
      </c>
      <c r="Q36" s="2" t="s">
        <v>99</v>
      </c>
      <c r="R36" s="44">
        <v>120</v>
      </c>
      <c r="S36" s="2" t="s">
        <v>220</v>
      </c>
      <c r="V36" t="str">
        <v>Talang Seleman</v>
      </c>
    </row>
    <row r="37" spans="2:22" x14ac:dyDescent="0.5">
      <c r="B37" s="44">
        <f>IF(Table11[[#This Row],[Kelurahan]]="","",ROW(I33))</f>
        <v>33</v>
      </c>
      <c r="C37" s="52" t="s">
        <v>38</v>
      </c>
      <c r="D37" s="52" t="str">
        <f>INDEX(Table2[Kecamatan],MATCH(Table11[[#This Row],[Kelurahan]],Table2[Kelurahan],0))</f>
        <v>Bukit Kecil</v>
      </c>
      <c r="E37" s="52" t="str">
        <f>INDEX(Table2[Kabupaten/Kota],MATCH(Table11[[#This Row],[Kecamatan]],Table2[Kecamatan],0))</f>
        <v>Palembang</v>
      </c>
      <c r="F37" s="52" t="str">
        <f>INDEX(Table2[Provinsi],MATCH(Table11[[#This Row],[Kab/Kota]],Table2[Kabupaten/Kota],0))</f>
        <v>Sumatera Selatan</v>
      </c>
      <c r="G37" s="2" t="s">
        <v>199</v>
      </c>
      <c r="H37" s="59">
        <v>1</v>
      </c>
      <c r="L37" s="2" t="s">
        <v>48</v>
      </c>
      <c r="M37" s="2" t="str">
        <v>24 Ilir</v>
      </c>
      <c r="N37" s="44">
        <v>1</v>
      </c>
      <c r="P37" s="2" t="s">
        <v>9</v>
      </c>
      <c r="Q37" s="2" t="s">
        <v>100</v>
      </c>
      <c r="R37" s="44">
        <v>115</v>
      </c>
      <c r="S37" s="2" t="s">
        <v>220</v>
      </c>
      <c r="V37" t="str">
        <v>Talang Semut</v>
      </c>
    </row>
    <row r="38" spans="2:22" x14ac:dyDescent="0.5">
      <c r="B38" s="44">
        <f>IF(Table11[[#This Row],[Kelurahan]]="","",ROW(I34))</f>
        <v>34</v>
      </c>
      <c r="C38" s="52" t="s">
        <v>46</v>
      </c>
      <c r="D38" s="52" t="str">
        <f>INDEX(Table2[Kecamatan],MATCH(Table11[[#This Row],[Kelurahan]],Table2[Kelurahan],0))</f>
        <v>Ilir Barat I</v>
      </c>
      <c r="E38" s="52" t="str">
        <f>INDEX(Table2[Kabupaten/Kota],MATCH(Table11[[#This Row],[Kecamatan]],Table2[Kecamatan],0))</f>
        <v>Palembang</v>
      </c>
      <c r="F38" s="52" t="str">
        <f>INDEX(Table2[Provinsi],MATCH(Table11[[#This Row],[Kab/Kota]],Table2[Kabupaten/Kota],0))</f>
        <v>Sumatera Selatan</v>
      </c>
      <c r="G38" s="2" t="s">
        <v>199</v>
      </c>
      <c r="H38" s="59">
        <v>1</v>
      </c>
      <c r="L38" s="2" t="s">
        <v>48</v>
      </c>
      <c r="M38" s="2" t="str">
        <v>Bukit Baru</v>
      </c>
      <c r="N38" s="44">
        <v>1</v>
      </c>
      <c r="P38" s="2" t="s">
        <v>9</v>
      </c>
      <c r="Q38" s="2" t="s">
        <v>423</v>
      </c>
      <c r="R38" s="44">
        <v>200</v>
      </c>
      <c r="S38" s="2" t="s">
        <v>220</v>
      </c>
      <c r="V38" t="str">
        <v>Tanjung Mancang</v>
      </c>
    </row>
    <row r="39" spans="2:22" x14ac:dyDescent="0.5">
      <c r="B39" s="44">
        <f>IF(Table11[[#This Row],[Kelurahan]]="","",ROW(I35))</f>
        <v>35</v>
      </c>
      <c r="C39" s="52" t="s">
        <v>87</v>
      </c>
      <c r="D39" s="52" t="str">
        <f>INDEX(Table2[Kecamatan],MATCH(Table11[[#This Row],[Kelurahan]],Table2[Kelurahan],0))</f>
        <v>Kalidoni</v>
      </c>
      <c r="E39" s="52" t="str">
        <f>INDEX(Table2[Kabupaten/Kota],MATCH(Table11[[#This Row],[Kecamatan]],Table2[Kecamatan],0))</f>
        <v>Banyuasin</v>
      </c>
      <c r="F39" s="52" t="str">
        <f>INDEX(Table2[Provinsi],MATCH(Table11[[#This Row],[Kab/Kota]],Table2[Kabupaten/Kota],0))</f>
        <v>Sumatera Selatan</v>
      </c>
      <c r="G39" s="2" t="s">
        <v>199</v>
      </c>
      <c r="H39" s="59">
        <v>1</v>
      </c>
      <c r="L39" s="2" t="s">
        <v>48</v>
      </c>
      <c r="M39" s="2" t="str">
        <v>Kalidoni</v>
      </c>
      <c r="N39" s="44">
        <v>1</v>
      </c>
      <c r="P39" s="2" t="s">
        <v>9</v>
      </c>
      <c r="Q39" s="2" t="s">
        <v>406</v>
      </c>
      <c r="R39" s="44">
        <v>150</v>
      </c>
      <c r="S39" s="2" t="s">
        <v>220</v>
      </c>
      <c r="V39" t="str">
        <v>Tanjung Seteko</v>
      </c>
    </row>
    <row r="40" spans="2:22" x14ac:dyDescent="0.5">
      <c r="B40" s="44">
        <f>IF(Table11[[#This Row],[Kelurahan]]="","",ROW(I36))</f>
        <v>36</v>
      </c>
      <c r="C40" s="52" t="s">
        <v>33</v>
      </c>
      <c r="D40" s="52" t="str">
        <f>INDEX(Table2[Kecamatan],MATCH(Table11[[#This Row],[Kelurahan]],Table2[Kelurahan],0))</f>
        <v>Alang-Alang Lebar</v>
      </c>
      <c r="E40" s="52" t="str">
        <f>INDEX(Table2[Kabupaten/Kota],MATCH(Table11[[#This Row],[Kecamatan]],Table2[Kecamatan],0))</f>
        <v>Palembang</v>
      </c>
      <c r="F40" s="52" t="str">
        <f>INDEX(Table2[Provinsi],MATCH(Table11[[#This Row],[Kab/Kota]],Table2[Kabupaten/Kota],0))</f>
        <v>Sumatera Selatan</v>
      </c>
      <c r="G40" s="2" t="s">
        <v>199</v>
      </c>
      <c r="H40" s="59">
        <v>1</v>
      </c>
      <c r="L40" s="2" t="s">
        <v>87</v>
      </c>
      <c r="M40" s="2" t="str">
        <v>Karya Baru</v>
      </c>
      <c r="N40" s="44">
        <v>1</v>
      </c>
      <c r="P40" s="2" t="s">
        <v>9</v>
      </c>
      <c r="Q40" s="2" t="s">
        <v>436</v>
      </c>
      <c r="R40" s="44">
        <v>150</v>
      </c>
      <c r="S40" s="2" t="s">
        <v>220</v>
      </c>
      <c r="V40" t="str">
        <v>Ulak bedil</v>
      </c>
    </row>
    <row r="41" spans="2:22" x14ac:dyDescent="0.5">
      <c r="B41" s="44">
        <f>IF(Table11[[#This Row],[Kelurahan]]="","",ROW(I37))</f>
        <v>37</v>
      </c>
      <c r="C41" s="52" t="s">
        <v>100</v>
      </c>
      <c r="D41" s="52" t="str">
        <f>INDEX(Table2[Kecamatan],MATCH(Table11[[#This Row],[Kelurahan]],Table2[Kelurahan],0))</f>
        <v>Kertapati</v>
      </c>
      <c r="E41" s="52" t="str">
        <f>INDEX(Table2[Kabupaten/Kota],MATCH(Table11[[#This Row],[Kecamatan]],Table2[Kecamatan],0))</f>
        <v>Palembang</v>
      </c>
      <c r="F41" s="52" t="str">
        <f>INDEX(Table2[Provinsi],MATCH(Table11[[#This Row],[Kab/Kota]],Table2[Kabupaten/Kota],0))</f>
        <v>Sumatera Selatan</v>
      </c>
      <c r="G41" s="2" t="s">
        <v>199</v>
      </c>
      <c r="H41" s="59">
        <v>1</v>
      </c>
      <c r="L41" s="2" t="s">
        <v>33</v>
      </c>
      <c r="M41" s="2" t="str">
        <v>Kertapati</v>
      </c>
      <c r="N41" s="44">
        <v>1</v>
      </c>
      <c r="P41" s="2" t="s">
        <v>9</v>
      </c>
      <c r="Q41" s="2" t="s">
        <v>242</v>
      </c>
      <c r="R41" s="44">
        <v>125</v>
      </c>
      <c r="S41" s="2" t="s">
        <v>220</v>
      </c>
    </row>
    <row r="42" spans="2:22" x14ac:dyDescent="0.5">
      <c r="B42" s="44">
        <f>IF(Table11[[#This Row],[Kelurahan]]="","",ROW(I38))</f>
        <v>38</v>
      </c>
      <c r="C42" s="52" t="s">
        <v>451</v>
      </c>
      <c r="D42" s="52" t="str">
        <f>INDEX(Table2[Kecamatan],MATCH(Table11[[#This Row],[Kelurahan]],Table2[Kelurahan],0))</f>
        <v>Indralaya</v>
      </c>
      <c r="E42" s="52" t="str">
        <f>INDEX(Table2[Kabupaten/Kota],MATCH(Table11[[#This Row],[Kecamatan]],Table2[Kecamatan],0))</f>
        <v>Ogan Ilir</v>
      </c>
      <c r="F42" s="52" t="str">
        <f>INDEX(Table2[Provinsi],MATCH(Table11[[#This Row],[Kab/Kota]],Table2[Kabupaten/Kota],0))</f>
        <v>Sumatera Selatan</v>
      </c>
      <c r="G42" s="2" t="s">
        <v>199</v>
      </c>
      <c r="H42" s="59">
        <v>1</v>
      </c>
      <c r="L42" s="2" t="s">
        <v>96</v>
      </c>
      <c r="M42" s="2" t="str">
        <v>Muara Penimbung Ilir</v>
      </c>
      <c r="N42" s="44">
        <v>1</v>
      </c>
      <c r="P42" s="2" t="s">
        <v>459</v>
      </c>
      <c r="Q42" s="2" t="s">
        <v>581</v>
      </c>
      <c r="R42" s="44">
        <v>100</v>
      </c>
      <c r="S42" s="2" t="s">
        <v>212</v>
      </c>
    </row>
    <row r="43" spans="2:22" x14ac:dyDescent="0.5">
      <c r="B43" s="44">
        <f>IF(Table11[[#This Row],[Kelurahan]]="","",ROW(I39))</f>
        <v>39</v>
      </c>
      <c r="C43" s="52" t="s">
        <v>158</v>
      </c>
      <c r="D43" s="52" t="str">
        <f>INDEX(Table2[Kecamatan],MATCH(Table11[[#This Row],[Kelurahan]],Table2[Kelurahan],0))</f>
        <v>Pemulutan</v>
      </c>
      <c r="E43" s="52" t="str">
        <f>INDEX(Table2[Kabupaten/Kota],MATCH(Table11[[#This Row],[Kecamatan]],Table2[Kecamatan],0))</f>
        <v>Ogan Ilir</v>
      </c>
      <c r="F43" s="52" t="str">
        <f>INDEX(Table2[Provinsi],MATCH(Table11[[#This Row],[Kab/Kota]],Table2[Kabupaten/Kota],0))</f>
        <v>Sumatera Selatan</v>
      </c>
      <c r="G43" s="2" t="s">
        <v>199</v>
      </c>
      <c r="H43" s="59">
        <v>1</v>
      </c>
      <c r="L43" s="2" t="s">
        <v>96</v>
      </c>
      <c r="M43" s="2" t="str">
        <v>Pemulutan Ulu</v>
      </c>
      <c r="N43" s="44">
        <v>0</v>
      </c>
      <c r="P43" s="2" t="s">
        <v>459</v>
      </c>
      <c r="Q43" s="2" t="s">
        <v>505</v>
      </c>
      <c r="R43" s="44">
        <v>110</v>
      </c>
      <c r="S43" s="2" t="s">
        <v>212</v>
      </c>
    </row>
    <row r="44" spans="2:22" x14ac:dyDescent="0.5">
      <c r="B44" s="44">
        <f>IF(Table11[[#This Row],[Kelurahan]]="","",ROW(I40))</f>
        <v>40</v>
      </c>
      <c r="C44" s="52" t="s">
        <v>44</v>
      </c>
      <c r="D44" s="52" t="str">
        <f>INDEX(Table2[Kecamatan],MATCH(Table11[[#This Row],[Kelurahan]],Table2[Kelurahan],0))</f>
        <v>Gandus</v>
      </c>
      <c r="E44" s="52" t="str">
        <f>INDEX(Table2[Kabupaten/Kota],MATCH(Table11[[#This Row],[Kecamatan]],Table2[Kecamatan],0))</f>
        <v>Palembang</v>
      </c>
      <c r="F44" s="52" t="str">
        <f>INDEX(Table2[Provinsi],MATCH(Table11[[#This Row],[Kab/Kota]],Table2[Kabupaten/Kota],0))</f>
        <v>Sumatera Selatan</v>
      </c>
      <c r="G44" s="2" t="s">
        <v>199</v>
      </c>
      <c r="H44" s="59">
        <v>1</v>
      </c>
      <c r="L44" s="2" t="s">
        <v>96</v>
      </c>
      <c r="M44" s="2" t="str">
        <v>Pulo Kerto</v>
      </c>
      <c r="N44" s="44">
        <v>0</v>
      </c>
      <c r="P44" s="2" t="s">
        <v>459</v>
      </c>
      <c r="Q44" s="2" t="s">
        <v>474</v>
      </c>
      <c r="R44" s="44">
        <v>110</v>
      </c>
      <c r="S44" s="2" t="s">
        <v>212</v>
      </c>
    </row>
    <row r="45" spans="2:22" x14ac:dyDescent="0.5">
      <c r="B45" s="44">
        <f>IF(Table11[[#This Row],[Kelurahan]]="","",ROW(I41))</f>
        <v>41</v>
      </c>
      <c r="C45" s="52" t="s">
        <v>386</v>
      </c>
      <c r="D45" s="52" t="str">
        <f>INDEX(Table2[Kecamatan],MATCH(Table11[[#This Row],[Kelurahan]],Table2[Kelurahan],0))</f>
        <v>Manyak Payed</v>
      </c>
      <c r="E45" s="52" t="str">
        <f>INDEX(Table2[Kabupaten/Kota],MATCH(Table11[[#This Row],[Kecamatan]],Table2[Kecamatan],0))</f>
        <v>Aceh Tamiang</v>
      </c>
      <c r="F45" s="52" t="str">
        <f>INDEX(Table2[Provinsi],MATCH(Table11[[#This Row],[Kab/Kota]],Table2[Kabupaten/Kota],0))</f>
        <v>Nangroe Aceh Darussalam</v>
      </c>
      <c r="G45" s="2" t="s">
        <v>199</v>
      </c>
      <c r="H45" s="59">
        <v>1</v>
      </c>
      <c r="L45" s="2" t="s">
        <v>96</v>
      </c>
      <c r="M45" s="2" t="str">
        <v>Sampaimah</v>
      </c>
      <c r="N45" s="44">
        <v>0</v>
      </c>
      <c r="P45" s="2" t="s">
        <v>459</v>
      </c>
      <c r="Q45" s="2" t="s">
        <v>461</v>
      </c>
      <c r="R45" s="44">
        <v>112</v>
      </c>
      <c r="S45" s="2" t="s">
        <v>212</v>
      </c>
    </row>
    <row r="46" spans="2:22" x14ac:dyDescent="0.5">
      <c r="B46" s="44">
        <f>IF(Table11[[#This Row],[Kelurahan]]="","",ROW(I42))</f>
        <v>42</v>
      </c>
      <c r="C46" s="52" t="s">
        <v>111</v>
      </c>
      <c r="D46" s="52" t="str">
        <f>INDEX(Table2[Kecamatan],MATCH(Table11[[#This Row],[Kelurahan]],Table2[Kelurahan],0))</f>
        <v>Sako</v>
      </c>
      <c r="E46" s="52" t="str">
        <f>INDEX(Table2[Kabupaten/Kota],MATCH(Table11[[#This Row],[Kecamatan]],Table2[Kecamatan],0))</f>
        <v>Palembang</v>
      </c>
      <c r="F46" s="52" t="str">
        <f>INDEX(Table2[Provinsi],MATCH(Table11[[#This Row],[Kab/Kota]],Table2[Kabupaten/Kota],0))</f>
        <v>Sumatera Selatan</v>
      </c>
      <c r="G46" s="2" t="s">
        <v>199</v>
      </c>
      <c r="H46" s="59">
        <v>1</v>
      </c>
      <c r="L46" s="2" t="s">
        <v>96</v>
      </c>
      <c r="M46" s="2" t="str">
        <v>Sialang</v>
      </c>
      <c r="N46" s="44">
        <v>1</v>
      </c>
      <c r="P46" s="2" t="s">
        <v>454</v>
      </c>
      <c r="Q46" s="2" t="s">
        <v>574</v>
      </c>
      <c r="R46" s="44">
        <v>50</v>
      </c>
      <c r="S46" s="2" t="s">
        <v>212</v>
      </c>
    </row>
    <row r="47" spans="2:22" x14ac:dyDescent="0.5">
      <c r="B47" s="44">
        <f>IF(Table11[[#This Row],[Kelurahan]]="","",ROW(I43))</f>
        <v>43</v>
      </c>
      <c r="C47" s="52" t="s">
        <v>84</v>
      </c>
      <c r="D47" s="52" t="str">
        <f>INDEX(Table2[Kecamatan],MATCH(Table11[[#This Row],[Kelurahan]],Table2[Kelurahan],0))</f>
        <v>Jakabaring</v>
      </c>
      <c r="E47" s="52" t="str">
        <f>INDEX(Table2[Kabupaten/Kota],MATCH(Table11[[#This Row],[Kecamatan]],Table2[Kecamatan],0))</f>
        <v>Palembang</v>
      </c>
      <c r="F47" s="52" t="str">
        <f>INDEX(Table2[Provinsi],MATCH(Table11[[#This Row],[Kab/Kota]],Table2[Kabupaten/Kota],0))</f>
        <v>Sumatera Selatan</v>
      </c>
      <c r="G47" s="2" t="s">
        <v>199</v>
      </c>
      <c r="H47" s="59">
        <v>1</v>
      </c>
      <c r="L47" s="2" t="s">
        <v>96</v>
      </c>
      <c r="M47" s="2" t="str">
        <v>Silaberanti</v>
      </c>
      <c r="N47" s="44">
        <v>1</v>
      </c>
      <c r="P47" s="2" t="s">
        <v>454</v>
      </c>
      <c r="Q47" s="2" t="s">
        <v>575</v>
      </c>
      <c r="R47" s="44">
        <v>50</v>
      </c>
      <c r="S47" s="2" t="s">
        <v>212</v>
      </c>
    </row>
    <row r="48" spans="2:22" x14ac:dyDescent="0.5">
      <c r="B48" s="44">
        <f>IF(Table11[[#This Row],[Kelurahan]]="","",ROW(I44))</f>
        <v>44</v>
      </c>
      <c r="C48" s="52" t="s">
        <v>50</v>
      </c>
      <c r="D48" s="52" t="str">
        <f>INDEX(Table2[Kecamatan],MATCH(Table11[[#This Row],[Kelurahan]],Table2[Kelurahan],0))</f>
        <v>Ilir Barat I</v>
      </c>
      <c r="E48" s="52" t="str">
        <f>INDEX(Table2[Kabupaten/Kota],MATCH(Table11[[#This Row],[Kecamatan]],Table2[Kecamatan],0))</f>
        <v>Palembang</v>
      </c>
      <c r="F48" s="52" t="str">
        <f>INDEX(Table2[Provinsi],MATCH(Table11[[#This Row],[Kab/Kota]],Table2[Kabupaten/Kota],0))</f>
        <v>Sumatera Selatan</v>
      </c>
      <c r="G48" s="2" t="s">
        <v>199</v>
      </c>
      <c r="H48" s="59">
        <v>1</v>
      </c>
      <c r="L48" s="2" t="s">
        <v>96</v>
      </c>
      <c r="M48" s="2" t="str">
        <v>Siring Agung</v>
      </c>
      <c r="N48" s="44">
        <v>0</v>
      </c>
      <c r="P48" s="2" t="s">
        <v>454</v>
      </c>
      <c r="Q48" s="2" t="s">
        <v>577</v>
      </c>
      <c r="R48" s="44">
        <v>60</v>
      </c>
      <c r="S48" s="2" t="s">
        <v>212</v>
      </c>
    </row>
    <row r="49" spans="2:19" x14ac:dyDescent="0.5">
      <c r="B49" s="44">
        <f>IF(Table11[[#This Row],[Kelurahan]]="","",ROW(I45))</f>
        <v>45</v>
      </c>
      <c r="C49" s="52" t="s">
        <v>389</v>
      </c>
      <c r="D49" s="52" t="str">
        <f>INDEX(Table2[Kecamatan],MATCH(Table11[[#This Row],[Kelurahan]],Table2[Kelurahan],0))</f>
        <v>Sematang Borang</v>
      </c>
      <c r="E49" s="52" t="str">
        <f>INDEX(Table2[Kabupaten/Kota],MATCH(Table11[[#This Row],[Kecamatan]],Table2[Kecamatan],0))</f>
        <v>Palembang</v>
      </c>
      <c r="F49" s="52" t="str">
        <f>INDEX(Table2[Provinsi],MATCH(Table11[[#This Row],[Kab/Kota]],Table2[Kabupaten/Kota],0))</f>
        <v>Sumatera Selatan</v>
      </c>
      <c r="G49" s="2" t="s">
        <v>199</v>
      </c>
      <c r="H49" s="59">
        <v>1</v>
      </c>
      <c r="L49" s="2" t="s">
        <v>96</v>
      </c>
      <c r="M49" s="2" t="str">
        <v>Sri mulya</v>
      </c>
      <c r="N49" s="44">
        <v>0</v>
      </c>
      <c r="P49" s="2" t="s">
        <v>454</v>
      </c>
      <c r="Q49" s="2" t="s">
        <v>578</v>
      </c>
      <c r="R49" s="44">
        <v>50</v>
      </c>
      <c r="S49" s="2" t="s">
        <v>212</v>
      </c>
    </row>
    <row r="50" spans="2:19" s="56" customFormat="1" x14ac:dyDescent="0.35">
      <c r="B50" s="44">
        <f>IF(Table11[[#This Row],[Kelurahan]]="","",ROW(I46))</f>
        <v>46</v>
      </c>
      <c r="C50" s="52" t="s">
        <v>34</v>
      </c>
      <c r="D50" s="52" t="str">
        <f>INDEX(Table2[Kecamatan],MATCH(Table11[[#This Row],[Kelurahan]],Table2[Kelurahan],0))</f>
        <v>Alang-Alang Lebar</v>
      </c>
      <c r="E50" s="52" t="str">
        <f>INDEX(Table2[Kabupaten/Kota],MATCH(Table11[[#This Row],[Kecamatan]],Table2[Kecamatan],0))</f>
        <v>Palembang</v>
      </c>
      <c r="F50" s="52" t="str">
        <f>INDEX(Table2[Provinsi],MATCH(Table11[[#This Row],[Kab/Kota]],Table2[Kabupaten/Kota],0))</f>
        <v>Sumatera Selatan</v>
      </c>
      <c r="G50" s="2" t="s">
        <v>199</v>
      </c>
      <c r="H50" s="59">
        <v>1</v>
      </c>
      <c r="J50" s="61"/>
      <c r="L50" s="2" t="s">
        <v>96</v>
      </c>
      <c r="M50" s="2" t="str">
        <v>Srijaya</v>
      </c>
      <c r="N50" s="44">
        <v>1</v>
      </c>
      <c r="P50" s="2" t="s">
        <v>454</v>
      </c>
      <c r="Q50" s="2" t="s">
        <v>580</v>
      </c>
      <c r="R50" s="44">
        <v>83</v>
      </c>
      <c r="S50" s="2" t="s">
        <v>212</v>
      </c>
    </row>
    <row r="51" spans="2:19" x14ac:dyDescent="0.5">
      <c r="B51" s="44">
        <f>IF(Table11[[#This Row],[Kelurahan]]="","",ROW(I47))</f>
        <v>47</v>
      </c>
      <c r="C51" s="52" t="s">
        <v>112</v>
      </c>
      <c r="D51" s="52" t="str">
        <f>INDEX(Table2[Kecamatan],MATCH(Table11[[#This Row],[Kelurahan]],Table2[Kelurahan],0))</f>
        <v>Sako</v>
      </c>
      <c r="E51" s="52" t="str">
        <f>INDEX(Table2[Kabupaten/Kota],MATCH(Table11[[#This Row],[Kecamatan]],Table2[Kecamatan],0))</f>
        <v>Palembang</v>
      </c>
      <c r="F51" s="52" t="str">
        <f>INDEX(Table2[Provinsi],MATCH(Table11[[#This Row],[Kab/Kota]],Table2[Kabupaten/Kota],0))</f>
        <v>Sumatera Selatan</v>
      </c>
      <c r="G51" s="2" t="s">
        <v>199</v>
      </c>
      <c r="H51" s="59">
        <v>1</v>
      </c>
      <c r="L51" s="2" t="s">
        <v>96</v>
      </c>
      <c r="M51" s="2" t="str">
        <v>Sukamaju</v>
      </c>
      <c r="N51" s="44">
        <v>1</v>
      </c>
      <c r="P51" s="2" t="s">
        <v>462</v>
      </c>
      <c r="Q51" s="2" t="s">
        <v>576</v>
      </c>
      <c r="R51" s="44">
        <v>70</v>
      </c>
      <c r="S51" s="2" t="s">
        <v>212</v>
      </c>
    </row>
    <row r="52" spans="2:19" x14ac:dyDescent="0.5">
      <c r="B52" s="44">
        <f>IF(Table11[[#This Row],[Kelurahan]]="","",ROW(I48))</f>
        <v>48</v>
      </c>
      <c r="C52" s="52" t="s">
        <v>132</v>
      </c>
      <c r="D52" s="52" t="str">
        <f>INDEX(Table2[Kecamatan],MATCH(Table11[[#This Row],[Kelurahan]],Table2[Kelurahan],0))</f>
        <v>Sukarami</v>
      </c>
      <c r="E52" s="52" t="str">
        <f>INDEX(Table2[Kabupaten/Kota],MATCH(Table11[[#This Row],[Kecamatan]],Table2[Kecamatan],0))</f>
        <v>Palembang</v>
      </c>
      <c r="F52" s="52" t="str">
        <f>INDEX(Table2[Provinsi],MATCH(Table11[[#This Row],[Kab/Kota]],Table2[Kabupaten/Kota],0))</f>
        <v>Sumatera Selatan</v>
      </c>
      <c r="G52" s="2" t="s">
        <v>199</v>
      </c>
      <c r="H52" s="59">
        <v>1</v>
      </c>
      <c r="L52" s="2" t="s">
        <v>96</v>
      </c>
      <c r="M52" s="67" t="str">
        <v>Sukarami</v>
      </c>
      <c r="N52" s="73">
        <v>0</v>
      </c>
      <c r="P52" s="2" t="s">
        <v>462</v>
      </c>
      <c r="Q52" s="2" t="s">
        <v>579</v>
      </c>
      <c r="R52" s="44">
        <v>70</v>
      </c>
      <c r="S52" s="2" t="s">
        <v>212</v>
      </c>
    </row>
    <row r="53" spans="2:19" x14ac:dyDescent="0.5">
      <c r="B53" s="44">
        <f>IF(Table11[[#This Row],[Kelurahan]]="","",ROW(I49))</f>
        <v>49</v>
      </c>
      <c r="C53" s="52" t="s">
        <v>544</v>
      </c>
      <c r="D53" s="52" t="str">
        <f>INDEX(Table2[Kecamatan],MATCH(Table11[[#This Row],[Kelurahan]],Table2[Kelurahan],0))</f>
        <v>Rambutan</v>
      </c>
      <c r="E53" s="52" t="str">
        <f>INDEX(Table2[Kabupaten/Kota],MATCH(Table11[[#This Row],[Kecamatan]],Table2[Kecamatan],0))</f>
        <v>Banyuasin</v>
      </c>
      <c r="F53" s="52" t="str">
        <f>INDEX(Table2[Provinsi],MATCH(Table11[[#This Row],[Kab/Kota]],Table2[Kabupaten/Kota],0))</f>
        <v>Sumatera Selatan</v>
      </c>
      <c r="G53" s="2" t="s">
        <v>199</v>
      </c>
      <c r="H53" s="59">
        <v>1</v>
      </c>
      <c r="L53" s="2" t="s">
        <v>96</v>
      </c>
      <c r="M53" s="2" t="str">
        <v>Sungai Kedukan</v>
      </c>
      <c r="N53" s="44">
        <v>1</v>
      </c>
      <c r="P53" s="2" t="s">
        <v>462</v>
      </c>
      <c r="Q53" s="2" t="s">
        <v>560</v>
      </c>
      <c r="R53" s="44">
        <v>70</v>
      </c>
      <c r="S53" s="2" t="s">
        <v>212</v>
      </c>
    </row>
    <row r="54" spans="2:19" x14ac:dyDescent="0.5">
      <c r="B54" s="44">
        <f>IF(Table11[[#This Row],[Kelurahan]]="","",ROW(I50))</f>
        <v>50</v>
      </c>
      <c r="C54" s="52" t="s">
        <v>479</v>
      </c>
      <c r="D54" s="52" t="str">
        <f>INDEX(Table2[Kecamatan],MATCH(Table11[[#This Row],[Kelurahan]],Table2[Kelurahan],0))</f>
        <v>Indralaya</v>
      </c>
      <c r="E54" s="52" t="str">
        <f>INDEX(Table2[Kabupaten/Kota],MATCH(Table11[[#This Row],[Kecamatan]],Table2[Kecamatan],0))</f>
        <v>Ogan Ilir</v>
      </c>
      <c r="F54" s="52" t="str">
        <f>INDEX(Table2[Provinsi],MATCH(Table11[[#This Row],[Kab/Kota]],Table2[Kabupaten/Kota],0))</f>
        <v>Sumatera Selatan</v>
      </c>
      <c r="G54" s="2" t="s">
        <v>199</v>
      </c>
      <c r="H54" s="59">
        <v>1</v>
      </c>
      <c r="L54" s="2" t="s">
        <v>96</v>
      </c>
      <c r="M54" s="2" t="str">
        <v>Talang Aur</v>
      </c>
      <c r="N54" s="44">
        <v>1</v>
      </c>
      <c r="P54" s="2" t="s">
        <v>9</v>
      </c>
      <c r="Q54" s="2" t="s">
        <v>407</v>
      </c>
      <c r="R54" s="44">
        <v>250</v>
      </c>
      <c r="S54" s="2" t="s">
        <v>212</v>
      </c>
    </row>
    <row r="55" spans="2:19" x14ac:dyDescent="0.5">
      <c r="B55" s="44">
        <f>IF(Table11[[#This Row],[Kelurahan]]="","",ROW(I51))</f>
        <v>51</v>
      </c>
      <c r="C55" s="52" t="s">
        <v>227</v>
      </c>
      <c r="D55" s="52" t="str">
        <f>INDEX(Table2[Kecamatan],MATCH(Table11[[#This Row],[Kelurahan]],Table2[Kelurahan],0))</f>
        <v>Talang Kelapa</v>
      </c>
      <c r="E55" s="52" t="str">
        <f>INDEX(Table2[Kabupaten/Kota],MATCH(Table11[[#This Row],[Kecamatan]],Table2[Kecamatan],0))</f>
        <v>Banyuasin</v>
      </c>
      <c r="F55" s="52" t="str">
        <f>INDEX(Table2[Provinsi],MATCH(Table11[[#This Row],[Kab/Kota]],Table2[Kabupaten/Kota],0))</f>
        <v>Sumatera Selatan</v>
      </c>
      <c r="G55" s="2" t="s">
        <v>199</v>
      </c>
      <c r="H55" s="59">
        <v>1</v>
      </c>
      <c r="L55" s="2" t="s">
        <v>96</v>
      </c>
      <c r="M55" s="2" t="str">
        <v>Talang Buluh</v>
      </c>
      <c r="N55" s="44">
        <v>0</v>
      </c>
      <c r="P55" s="2" t="s">
        <v>153</v>
      </c>
      <c r="Q55" s="2" t="s">
        <v>433</v>
      </c>
      <c r="R55" s="44">
        <v>200</v>
      </c>
      <c r="S55" s="2" t="s">
        <v>208</v>
      </c>
    </row>
    <row r="56" spans="2:19" x14ac:dyDescent="0.5">
      <c r="B56" s="44">
        <f>IF(Table11[[#This Row],[Kelurahan]]="","",ROW(I52))</f>
        <v>52</v>
      </c>
      <c r="C56" s="52" t="s">
        <v>311</v>
      </c>
      <c r="D56" s="52" t="str">
        <f>INDEX(Table2[Kecamatan],MATCH(Table11[[#This Row],[Kelurahan]],Table2[Kelurahan],0))</f>
        <v>Payaraman</v>
      </c>
      <c r="E56" s="52" t="str">
        <f>INDEX(Table2[Kabupaten/Kota],MATCH(Table11[[#This Row],[Kecamatan]],Table2[Kecamatan],0))</f>
        <v>Ogan Ilir</v>
      </c>
      <c r="F56" s="52" t="str">
        <f>INDEX(Table2[Provinsi],MATCH(Table11[[#This Row],[Kab/Kota]],Table2[Kabupaten/Kota],0))</f>
        <v>Sumatera Selatan</v>
      </c>
      <c r="G56" s="2" t="s">
        <v>199</v>
      </c>
      <c r="H56" s="59">
        <v>1</v>
      </c>
      <c r="L56" s="2" t="s">
        <v>96</v>
      </c>
      <c r="M56" s="2" t="str">
        <v>Talang Seleman</v>
      </c>
      <c r="N56" s="44">
        <v>1</v>
      </c>
      <c r="P56" s="2" t="s">
        <v>153</v>
      </c>
      <c r="Q56" s="2" t="s">
        <v>519</v>
      </c>
      <c r="R56" s="44">
        <v>100</v>
      </c>
      <c r="S56" s="2" t="s">
        <v>208</v>
      </c>
    </row>
    <row r="57" spans="2:19" x14ac:dyDescent="0.5">
      <c r="B57" s="44">
        <f>IF(Table11[[#This Row],[Kelurahan]]="","",ROW(I53))</f>
        <v>53</v>
      </c>
      <c r="C57" s="52" t="s">
        <v>384</v>
      </c>
      <c r="D57" s="52" t="str">
        <f>INDEX(Table2[Kecamatan],MATCH(Table11[[#This Row],[Kelurahan]],Table2[Kelurahan],0))</f>
        <v>Karang baru</v>
      </c>
      <c r="E57" s="52" t="str">
        <f>INDEX(Table2[Kabupaten/Kota],MATCH(Table11[[#This Row],[Kecamatan]],Table2[Kecamatan],0))</f>
        <v>Aceh Tamiang</v>
      </c>
      <c r="F57" s="52" t="str">
        <f>INDEX(Table2[Provinsi],MATCH(Table11[[#This Row],[Kab/Kota]],Table2[Kabupaten/Kota],0))</f>
        <v>Nangroe Aceh Darussalam</v>
      </c>
      <c r="G57" s="2" t="s">
        <v>199</v>
      </c>
      <c r="H57" s="59">
        <v>1</v>
      </c>
      <c r="L57" s="2" t="s">
        <v>96</v>
      </c>
      <c r="M57" s="2" t="str">
        <v>Tanjung Seumantoh</v>
      </c>
      <c r="N57" s="44">
        <v>0</v>
      </c>
      <c r="P57" s="2" t="s">
        <v>153</v>
      </c>
      <c r="Q57" s="2" t="s">
        <v>521</v>
      </c>
      <c r="R57" s="44">
        <v>70</v>
      </c>
      <c r="S57" s="2" t="s">
        <v>208</v>
      </c>
    </row>
    <row r="58" spans="2:19" x14ac:dyDescent="0.5">
      <c r="B58" s="44">
        <f>IF(Table11[[#This Row],[Kelurahan]]="","",ROW(I54))</f>
        <v>54</v>
      </c>
      <c r="C58" s="52" t="s">
        <v>557</v>
      </c>
      <c r="D58" s="52" t="str">
        <f>INDEX(Table2[Kecamatan],MATCH(Table11[[#This Row],[Kelurahan]],Table2[Kelurahan],0))</f>
        <v>Indralaya</v>
      </c>
      <c r="E58" s="52" t="str">
        <f>INDEX(Table2[Kabupaten/Kota],MATCH(Table11[[#This Row],[Kecamatan]],Table2[Kecamatan],0))</f>
        <v>Ogan Ilir</v>
      </c>
      <c r="F58" s="52" t="str">
        <f>INDEX(Table2[Provinsi],MATCH(Table11[[#This Row],[Kab/Kota]],Table2[Kabupaten/Kota],0))</f>
        <v>Sumatera Selatan</v>
      </c>
      <c r="G58" s="2" t="s">
        <v>199</v>
      </c>
      <c r="H58" s="59">
        <v>1</v>
      </c>
      <c r="L58" s="2" t="s">
        <v>96</v>
      </c>
      <c r="M58" s="2" t="str">
        <v>Ulak bedil</v>
      </c>
      <c r="N58" s="44">
        <v>1</v>
      </c>
      <c r="P58" s="2" t="s">
        <v>153</v>
      </c>
      <c r="Q58" s="2" t="s">
        <v>518</v>
      </c>
      <c r="R58" s="44">
        <v>50</v>
      </c>
      <c r="S58" s="2" t="s">
        <v>208</v>
      </c>
    </row>
    <row r="59" spans="2:19" x14ac:dyDescent="0.5">
      <c r="L59" s="2" t="s">
        <v>96</v>
      </c>
      <c r="M59" s="2">
        <v>0</v>
      </c>
      <c r="N59" s="44"/>
      <c r="P59" s="2" t="s">
        <v>153</v>
      </c>
      <c r="Q59" s="2" t="s">
        <v>539</v>
      </c>
      <c r="R59" s="44">
        <v>70</v>
      </c>
      <c r="S59" s="2" t="s">
        <v>208</v>
      </c>
    </row>
    <row r="60" spans="2:19" x14ac:dyDescent="0.5">
      <c r="L60" s="2" t="s">
        <v>96</v>
      </c>
      <c r="M60" s="2"/>
      <c r="N60" s="44"/>
      <c r="P60" s="2" t="s">
        <v>153</v>
      </c>
      <c r="Q60" s="2" t="s">
        <v>520</v>
      </c>
      <c r="R60" s="44">
        <v>60</v>
      </c>
      <c r="S60" s="2" t="s">
        <v>208</v>
      </c>
    </row>
    <row r="61" spans="2:19" x14ac:dyDescent="0.5">
      <c r="L61" s="2" t="s">
        <v>96</v>
      </c>
      <c r="M61" s="2"/>
      <c r="N61" s="44"/>
      <c r="P61" s="2" t="s">
        <v>0</v>
      </c>
      <c r="Q61" s="2" t="s">
        <v>412</v>
      </c>
      <c r="R61" s="44">
        <v>150</v>
      </c>
      <c r="S61" s="2" t="s">
        <v>208</v>
      </c>
    </row>
    <row r="62" spans="2:19" x14ac:dyDescent="0.5">
      <c r="L62" s="2" t="s">
        <v>97</v>
      </c>
      <c r="M62" s="2"/>
      <c r="N62" s="44"/>
      <c r="P62" s="2" t="s">
        <v>19</v>
      </c>
      <c r="Q62" s="2" t="s">
        <v>530</v>
      </c>
      <c r="R62" s="44">
        <v>30</v>
      </c>
      <c r="S62" s="2" t="s">
        <v>209</v>
      </c>
    </row>
    <row r="63" spans="2:19" x14ac:dyDescent="0.5">
      <c r="L63" s="2" t="s">
        <v>97</v>
      </c>
      <c r="M63" s="2"/>
      <c r="N63" s="44"/>
      <c r="P63" s="2" t="s">
        <v>9</v>
      </c>
      <c r="Q63" s="2" t="s">
        <v>309</v>
      </c>
      <c r="R63" s="44">
        <v>120</v>
      </c>
      <c r="S63" s="2" t="s">
        <v>209</v>
      </c>
    </row>
    <row r="64" spans="2:19" x14ac:dyDescent="0.5">
      <c r="L64" s="2" t="s">
        <v>97</v>
      </c>
      <c r="M64" s="2"/>
      <c r="N64" s="44"/>
      <c r="P64" s="2" t="s">
        <v>459</v>
      </c>
      <c r="Q64" s="2" t="s">
        <v>414</v>
      </c>
      <c r="R64" s="44">
        <v>110</v>
      </c>
      <c r="S64" s="2" t="s">
        <v>210</v>
      </c>
    </row>
    <row r="65" spans="12:19" x14ac:dyDescent="0.5">
      <c r="L65" s="2" t="s">
        <v>166</v>
      </c>
      <c r="M65" s="2"/>
      <c r="N65" s="44"/>
      <c r="P65" s="2" t="s">
        <v>459</v>
      </c>
      <c r="Q65" s="2" t="s">
        <v>550</v>
      </c>
      <c r="R65" s="44">
        <v>100</v>
      </c>
      <c r="S65" s="2" t="s">
        <v>210</v>
      </c>
    </row>
    <row r="66" spans="12:19" x14ac:dyDescent="0.5">
      <c r="L66" s="2" t="s">
        <v>166</v>
      </c>
      <c r="M66" s="2"/>
      <c r="N66" s="44"/>
      <c r="P66" s="2" t="s">
        <v>19</v>
      </c>
      <c r="Q66" s="2" t="s">
        <v>478</v>
      </c>
      <c r="R66" s="44">
        <v>35</v>
      </c>
      <c r="S66" s="2" t="s">
        <v>210</v>
      </c>
    </row>
    <row r="67" spans="12:19" x14ac:dyDescent="0.5">
      <c r="L67" s="2" t="s">
        <v>166</v>
      </c>
      <c r="M67" s="2"/>
      <c r="N67" s="44"/>
      <c r="P67" s="2" t="s">
        <v>0</v>
      </c>
      <c r="Q67" s="2" t="s">
        <v>431</v>
      </c>
      <c r="R67" s="44">
        <v>100</v>
      </c>
      <c r="S67" s="2" t="s">
        <v>210</v>
      </c>
    </row>
    <row r="68" spans="12:19" x14ac:dyDescent="0.5">
      <c r="L68" s="2" t="s">
        <v>99</v>
      </c>
      <c r="M68" s="2"/>
      <c r="N68" s="44"/>
      <c r="P68" s="2" t="s">
        <v>532</v>
      </c>
      <c r="Q68" s="2" t="s">
        <v>561</v>
      </c>
      <c r="R68" s="44">
        <v>300</v>
      </c>
      <c r="S68" s="2" t="s">
        <v>215</v>
      </c>
    </row>
    <row r="69" spans="12:19" x14ac:dyDescent="0.5">
      <c r="L69" s="2" t="s">
        <v>99</v>
      </c>
      <c r="M69" s="2"/>
      <c r="N69" s="44"/>
      <c r="P69" s="2" t="s">
        <v>532</v>
      </c>
      <c r="Q69" s="2" t="s">
        <v>543</v>
      </c>
      <c r="R69" s="44">
        <v>300</v>
      </c>
      <c r="S69" s="2" t="s">
        <v>215</v>
      </c>
    </row>
    <row r="70" spans="12:19" x14ac:dyDescent="0.5">
      <c r="L70" s="2" t="s">
        <v>99</v>
      </c>
      <c r="M70" s="2"/>
      <c r="N70" s="44"/>
      <c r="P70" s="2" t="s">
        <v>532</v>
      </c>
      <c r="Q70" s="2" t="s">
        <v>558</v>
      </c>
      <c r="R70" s="44">
        <v>550</v>
      </c>
      <c r="S70" s="2" t="s">
        <v>215</v>
      </c>
    </row>
    <row r="71" spans="12:19" x14ac:dyDescent="0.5">
      <c r="L71" s="2" t="s">
        <v>99</v>
      </c>
      <c r="M71" s="2"/>
      <c r="N71" s="44"/>
    </row>
    <row r="72" spans="12:19" x14ac:dyDescent="0.5">
      <c r="L72" s="2" t="s">
        <v>99</v>
      </c>
      <c r="M72" s="2"/>
      <c r="N72" s="44"/>
    </row>
    <row r="73" spans="12:19" x14ac:dyDescent="0.5">
      <c r="L73" s="2" t="s">
        <v>99</v>
      </c>
      <c r="M73" s="2"/>
      <c r="N73" s="44"/>
    </row>
    <row r="74" spans="12:19" x14ac:dyDescent="0.5">
      <c r="L74" s="2" t="s">
        <v>99</v>
      </c>
      <c r="M74" s="2"/>
      <c r="N74" s="44"/>
    </row>
    <row r="75" spans="12:19" x14ac:dyDescent="0.5">
      <c r="L75" s="2" t="s">
        <v>99</v>
      </c>
      <c r="M75" s="2"/>
      <c r="N75" s="44"/>
    </row>
    <row r="76" spans="12:19" x14ac:dyDescent="0.5">
      <c r="L76" s="2" t="s">
        <v>99</v>
      </c>
      <c r="M76" s="2"/>
      <c r="N76" s="44"/>
    </row>
    <row r="77" spans="12:19" x14ac:dyDescent="0.5">
      <c r="L77" s="2" t="s">
        <v>99</v>
      </c>
      <c r="M77" s="2"/>
      <c r="N77" s="44"/>
    </row>
    <row r="78" spans="12:19" x14ac:dyDescent="0.5">
      <c r="L78" s="2" t="s">
        <v>99</v>
      </c>
      <c r="M78" s="2"/>
      <c r="N78" s="44"/>
    </row>
    <row r="79" spans="12:19" x14ac:dyDescent="0.5">
      <c r="L79" s="2" t="s">
        <v>99</v>
      </c>
      <c r="M79" s="2"/>
      <c r="N79" s="44"/>
    </row>
    <row r="80" spans="12:19" x14ac:dyDescent="0.5">
      <c r="L80" s="2" t="s">
        <v>99</v>
      </c>
      <c r="M80" s="2"/>
      <c r="N80" s="44"/>
    </row>
    <row r="81" spans="12:14" x14ac:dyDescent="0.5">
      <c r="L81" s="2" t="s">
        <v>99</v>
      </c>
      <c r="M81" s="2"/>
      <c r="N81" s="44"/>
    </row>
    <row r="82" spans="12:14" x14ac:dyDescent="0.5">
      <c r="L82" s="2" t="s">
        <v>99</v>
      </c>
      <c r="M82" s="2"/>
      <c r="N82" s="44"/>
    </row>
    <row r="83" spans="12:14" x14ac:dyDescent="0.5">
      <c r="L83" s="2" t="s">
        <v>99</v>
      </c>
      <c r="M83" s="2"/>
      <c r="N83" s="44"/>
    </row>
    <row r="84" spans="12:14" x14ac:dyDescent="0.5">
      <c r="L84" s="2" t="s">
        <v>99</v>
      </c>
      <c r="M84" s="2"/>
      <c r="N84" s="44"/>
    </row>
    <row r="85" spans="12:14" x14ac:dyDescent="0.5">
      <c r="L85" s="2" t="s">
        <v>99</v>
      </c>
      <c r="M85" s="2"/>
      <c r="N85" s="44"/>
    </row>
    <row r="86" spans="12:14" x14ac:dyDescent="0.5">
      <c r="L86" s="67" t="s">
        <v>99</v>
      </c>
      <c r="M86" s="2"/>
      <c r="N86" s="44"/>
    </row>
    <row r="87" spans="12:14" x14ac:dyDescent="0.5">
      <c r="L87" s="2" t="s">
        <v>99</v>
      </c>
      <c r="M87" s="2"/>
      <c r="N87" s="44"/>
    </row>
    <row r="88" spans="12:14" x14ac:dyDescent="0.5">
      <c r="L88" s="2" t="s">
        <v>99</v>
      </c>
      <c r="M88" s="2"/>
      <c r="N88" s="44"/>
    </row>
    <row r="89" spans="12:14" x14ac:dyDescent="0.5">
      <c r="L89" s="2" t="s">
        <v>99</v>
      </c>
      <c r="M89" s="2"/>
      <c r="N89" s="44"/>
    </row>
    <row r="90" spans="12:14" x14ac:dyDescent="0.5">
      <c r="L90" s="2" t="s">
        <v>99</v>
      </c>
      <c r="M90" s="2"/>
      <c r="N90" s="44"/>
    </row>
    <row r="91" spans="12:14" x14ac:dyDescent="0.5">
      <c r="L91" s="2" t="s">
        <v>99</v>
      </c>
      <c r="M91" s="2"/>
      <c r="N91" s="44"/>
    </row>
    <row r="92" spans="12:14" x14ac:dyDescent="0.5">
      <c r="L92" s="2" t="s">
        <v>99</v>
      </c>
      <c r="M92" s="2"/>
      <c r="N92" s="44"/>
    </row>
    <row r="93" spans="12:14" x14ac:dyDescent="0.5">
      <c r="L93" s="2" t="s">
        <v>99</v>
      </c>
      <c r="M93" s="2"/>
      <c r="N93" s="44"/>
    </row>
    <row r="94" spans="12:14" x14ac:dyDescent="0.5">
      <c r="L94" s="2" t="s">
        <v>99</v>
      </c>
      <c r="M94" s="2"/>
      <c r="N94" s="44"/>
    </row>
    <row r="95" spans="12:14" x14ac:dyDescent="0.5">
      <c r="L95" s="2" t="s">
        <v>99</v>
      </c>
      <c r="M95" s="2"/>
      <c r="N95" s="44"/>
    </row>
    <row r="96" spans="12:14" x14ac:dyDescent="0.5">
      <c r="L96" s="2" t="s">
        <v>99</v>
      </c>
      <c r="M96" s="2"/>
      <c r="N96" s="44"/>
    </row>
    <row r="97" spans="12:14" x14ac:dyDescent="0.5">
      <c r="L97" s="2" t="s">
        <v>99</v>
      </c>
      <c r="M97" s="2"/>
      <c r="N97" s="44"/>
    </row>
    <row r="98" spans="12:14" x14ac:dyDescent="0.5">
      <c r="L98" s="2" t="s">
        <v>99</v>
      </c>
      <c r="M98" s="2"/>
      <c r="N98" s="44"/>
    </row>
    <row r="99" spans="12:14" x14ac:dyDescent="0.5">
      <c r="L99" s="2" t="s">
        <v>99</v>
      </c>
      <c r="M99" s="2"/>
      <c r="N99" s="44"/>
    </row>
    <row r="100" spans="12:14" x14ac:dyDescent="0.5">
      <c r="L100" s="2" t="s">
        <v>99</v>
      </c>
      <c r="M100" s="2"/>
      <c r="N100" s="44"/>
    </row>
    <row r="101" spans="12:14" x14ac:dyDescent="0.5">
      <c r="L101" s="2" t="s">
        <v>99</v>
      </c>
      <c r="M101" s="2"/>
      <c r="N101" s="44"/>
    </row>
    <row r="102" spans="12:14" x14ac:dyDescent="0.5">
      <c r="L102" s="2" t="s">
        <v>99</v>
      </c>
      <c r="M102" s="2"/>
      <c r="N102" s="44"/>
    </row>
    <row r="103" spans="12:14" x14ac:dyDescent="0.5">
      <c r="L103" s="2" t="s">
        <v>99</v>
      </c>
      <c r="M103" s="2"/>
      <c r="N103" s="44"/>
    </row>
    <row r="104" spans="12:14" x14ac:dyDescent="0.5">
      <c r="L104" s="2" t="s">
        <v>100</v>
      </c>
      <c r="M104" s="2"/>
      <c r="N104" s="44"/>
    </row>
    <row r="105" spans="12:14" x14ac:dyDescent="0.5">
      <c r="L105" s="2" t="s">
        <v>49</v>
      </c>
      <c r="M105" s="2"/>
      <c r="N105" s="44"/>
    </row>
    <row r="106" spans="12:14" x14ac:dyDescent="0.5">
      <c r="L106" s="2" t="s">
        <v>49</v>
      </c>
      <c r="M106" s="2"/>
      <c r="N106" s="44"/>
    </row>
    <row r="107" spans="12:14" x14ac:dyDescent="0.5">
      <c r="L107" s="2" t="s">
        <v>49</v>
      </c>
      <c r="M107" s="2"/>
      <c r="N107" s="44"/>
    </row>
    <row r="108" spans="12:14" x14ac:dyDescent="0.5">
      <c r="L108" s="2" t="s">
        <v>49</v>
      </c>
      <c r="M108" s="2"/>
      <c r="N108" s="44"/>
    </row>
    <row r="109" spans="12:14" x14ac:dyDescent="0.5">
      <c r="L109" s="2" t="s">
        <v>451</v>
      </c>
      <c r="M109" s="2"/>
      <c r="N109" s="44"/>
    </row>
    <row r="110" spans="12:14" x14ac:dyDescent="0.5">
      <c r="L110" s="2" t="s">
        <v>104</v>
      </c>
      <c r="M110" s="2"/>
      <c r="N110" s="44"/>
    </row>
    <row r="111" spans="12:14" x14ac:dyDescent="0.5">
      <c r="L111" s="2" t="s">
        <v>104</v>
      </c>
      <c r="M111" s="2"/>
      <c r="N111" s="44"/>
    </row>
    <row r="112" spans="12:14" x14ac:dyDescent="0.5">
      <c r="L112" s="2" t="s">
        <v>248</v>
      </c>
      <c r="M112" s="2"/>
      <c r="N112" s="44"/>
    </row>
    <row r="113" spans="12:14" x14ac:dyDescent="0.5">
      <c r="L113" s="2" t="s">
        <v>248</v>
      </c>
      <c r="M113" s="2"/>
      <c r="N113" s="44"/>
    </row>
    <row r="114" spans="12:14" x14ac:dyDescent="0.5">
      <c r="L114" s="2" t="s">
        <v>376</v>
      </c>
      <c r="M114" s="2"/>
      <c r="N114" s="44"/>
    </row>
    <row r="115" spans="12:14" x14ac:dyDescent="0.5">
      <c r="L115" s="2" t="s">
        <v>111</v>
      </c>
      <c r="M115" s="2"/>
      <c r="N115" s="44"/>
    </row>
    <row r="116" spans="12:14" x14ac:dyDescent="0.5">
      <c r="L116" s="2" t="s">
        <v>84</v>
      </c>
      <c r="M116" s="2"/>
      <c r="N116" s="44"/>
    </row>
    <row r="117" spans="12:14" x14ac:dyDescent="0.5">
      <c r="L117" s="2" t="s">
        <v>34</v>
      </c>
      <c r="M117" s="2"/>
      <c r="N117" s="44"/>
    </row>
    <row r="118" spans="12:14" x14ac:dyDescent="0.5">
      <c r="L118" s="2" t="s">
        <v>112</v>
      </c>
      <c r="M118" s="2"/>
      <c r="N118" s="44"/>
    </row>
    <row r="119" spans="12:14" x14ac:dyDescent="0.5">
      <c r="L119" s="2" t="s">
        <v>544</v>
      </c>
      <c r="M119" s="2"/>
      <c r="N119" s="44"/>
    </row>
    <row r="120" spans="12:14" x14ac:dyDescent="0.5">
      <c r="L120" s="2" t="s">
        <v>68</v>
      </c>
      <c r="M120" s="2"/>
      <c r="N120" s="44"/>
    </row>
    <row r="121" spans="12:14" x14ac:dyDescent="0.5">
      <c r="L121" s="2" t="s">
        <v>68</v>
      </c>
      <c r="M121" s="2"/>
      <c r="N121" s="44"/>
    </row>
    <row r="122" spans="12:14" x14ac:dyDescent="0.5">
      <c r="L122" s="2" t="s">
        <v>479</v>
      </c>
      <c r="M122" s="2"/>
      <c r="N122" s="44"/>
    </row>
    <row r="123" spans="12:14" x14ac:dyDescent="0.5">
      <c r="L123" s="2" t="s">
        <v>311</v>
      </c>
      <c r="M123" s="2"/>
      <c r="N123" s="44"/>
    </row>
    <row r="124" spans="12:14" x14ac:dyDescent="0.5">
      <c r="L124" s="2" t="s">
        <v>40</v>
      </c>
      <c r="M124" s="2"/>
      <c r="N124" s="44"/>
    </row>
    <row r="125" spans="12:14" x14ac:dyDescent="0.5">
      <c r="L125" s="2" t="s">
        <v>40</v>
      </c>
      <c r="M125" s="2"/>
      <c r="N125" s="44"/>
    </row>
    <row r="126" spans="12:14" x14ac:dyDescent="0.5">
      <c r="L126" s="2" t="s">
        <v>40</v>
      </c>
      <c r="M126" s="2"/>
      <c r="N126" s="44"/>
    </row>
    <row r="127" spans="12:14" x14ac:dyDescent="0.5">
      <c r="L127" s="2" t="s">
        <v>304</v>
      </c>
      <c r="M127" s="2"/>
      <c r="N127" s="44"/>
    </row>
    <row r="128" spans="12:14" x14ac:dyDescent="0.5">
      <c r="L128" s="2" t="s">
        <v>304</v>
      </c>
      <c r="M128" s="2"/>
      <c r="N128" s="44"/>
    </row>
    <row r="129" spans="12:18" x14ac:dyDescent="0.5">
      <c r="L129" s="2" t="s">
        <v>304</v>
      </c>
      <c r="M129" s="2"/>
      <c r="N129" s="44"/>
    </row>
    <row r="130" spans="12:18" x14ac:dyDescent="0.5">
      <c r="L130" s="2" t="s">
        <v>304</v>
      </c>
      <c r="M130" s="2"/>
      <c r="N130" s="44"/>
    </row>
    <row r="131" spans="12:18" x14ac:dyDescent="0.5">
      <c r="L131" s="2" t="s">
        <v>304</v>
      </c>
      <c r="M131" s="2"/>
      <c r="N131" s="44"/>
    </row>
    <row r="132" spans="12:18" x14ac:dyDescent="0.5">
      <c r="L132" s="2" t="s">
        <v>304</v>
      </c>
      <c r="M132" s="2"/>
      <c r="N132" s="44"/>
    </row>
    <row r="133" spans="12:18" x14ac:dyDescent="0.5">
      <c r="L133" s="2" t="s">
        <v>304</v>
      </c>
      <c r="M133" s="2"/>
      <c r="N133" s="44"/>
    </row>
    <row r="134" spans="12:18" x14ac:dyDescent="0.5">
      <c r="L134" s="2" t="s">
        <v>304</v>
      </c>
      <c r="M134" s="2"/>
      <c r="N134" s="44"/>
    </row>
    <row r="135" spans="12:18" x14ac:dyDescent="0.5">
      <c r="L135" s="2" t="s">
        <v>531</v>
      </c>
      <c r="M135" s="2"/>
      <c r="N135" s="44"/>
    </row>
    <row r="136" spans="12:18" x14ac:dyDescent="0.5">
      <c r="L136" s="2" t="s">
        <v>531</v>
      </c>
      <c r="M136" s="2"/>
      <c r="N136" s="44"/>
    </row>
    <row r="137" spans="12:18" x14ac:dyDescent="0.5">
      <c r="L137" s="2" t="s">
        <v>557</v>
      </c>
      <c r="M137" s="2"/>
      <c r="N137" s="44"/>
    </row>
    <row r="138" spans="12:18" x14ac:dyDescent="0.5">
      <c r="N138"/>
      <c r="O138" s="7"/>
      <c r="R138"/>
    </row>
    <row r="139" spans="12:18" x14ac:dyDescent="0.5">
      <c r="N139"/>
      <c r="O139" s="7"/>
      <c r="R139"/>
    </row>
    <row r="140" spans="12:18" x14ac:dyDescent="0.5">
      <c r="N140"/>
      <c r="O140" s="7"/>
      <c r="R140"/>
    </row>
    <row r="141" spans="12:18" x14ac:dyDescent="0.5">
      <c r="N141"/>
      <c r="O141" s="7"/>
      <c r="R141"/>
    </row>
    <row r="142" spans="12:18" x14ac:dyDescent="0.5">
      <c r="N142"/>
      <c r="O142" s="7"/>
      <c r="R142"/>
    </row>
    <row r="143" spans="12:18" x14ac:dyDescent="0.5">
      <c r="N143"/>
      <c r="O143" s="7"/>
      <c r="R143"/>
    </row>
    <row r="144" spans="12:18" x14ac:dyDescent="0.5">
      <c r="N144"/>
      <c r="O144" s="7"/>
      <c r="R144"/>
    </row>
    <row r="145" spans="14:18" x14ac:dyDescent="0.5">
      <c r="N145"/>
      <c r="O145" s="7"/>
      <c r="R145"/>
    </row>
    <row r="146" spans="14:18" x14ac:dyDescent="0.5">
      <c r="N146"/>
      <c r="O146" s="7"/>
      <c r="R146"/>
    </row>
    <row r="147" spans="14:18" x14ac:dyDescent="0.5">
      <c r="N147"/>
      <c r="O147" s="7"/>
      <c r="R147"/>
    </row>
    <row r="148" spans="14:18" x14ac:dyDescent="0.5">
      <c r="N148"/>
      <c r="O148" s="7"/>
      <c r="R148"/>
    </row>
    <row r="149" spans="14:18" x14ac:dyDescent="0.5">
      <c r="N149"/>
      <c r="O149" s="7"/>
      <c r="R149"/>
    </row>
    <row r="150" spans="14:18" x14ac:dyDescent="0.5">
      <c r="N150"/>
      <c r="O150" s="7"/>
      <c r="R150"/>
    </row>
    <row r="151" spans="14:18" x14ac:dyDescent="0.5">
      <c r="N151"/>
      <c r="O151" s="7"/>
      <c r="R151"/>
    </row>
    <row r="152" spans="14:18" x14ac:dyDescent="0.5">
      <c r="N152"/>
      <c r="O152" s="7"/>
      <c r="R152"/>
    </row>
    <row r="153" spans="14:18" x14ac:dyDescent="0.5">
      <c r="N153"/>
      <c r="O153" s="7"/>
      <c r="R153"/>
    </row>
    <row r="154" spans="14:18" x14ac:dyDescent="0.5">
      <c r="N154"/>
      <c r="O154" s="7"/>
      <c r="R154"/>
    </row>
    <row r="155" spans="14:18" x14ac:dyDescent="0.5">
      <c r="N155"/>
      <c r="O155" s="7"/>
      <c r="R155"/>
    </row>
    <row r="156" spans="14:18" x14ac:dyDescent="0.5">
      <c r="N156"/>
      <c r="O156" s="7"/>
      <c r="R156"/>
    </row>
    <row r="157" spans="14:18" x14ac:dyDescent="0.5">
      <c r="N157"/>
      <c r="O157" s="7"/>
      <c r="R157"/>
    </row>
    <row r="158" spans="14:18" x14ac:dyDescent="0.5">
      <c r="N158"/>
      <c r="O158" s="7"/>
      <c r="R158"/>
    </row>
    <row r="159" spans="14:18" x14ac:dyDescent="0.5">
      <c r="N159"/>
      <c r="O159" s="7"/>
      <c r="R159"/>
    </row>
    <row r="160" spans="14:18" x14ac:dyDescent="0.5">
      <c r="N160"/>
      <c r="O160" s="7"/>
      <c r="R160"/>
    </row>
    <row r="161" spans="14:18" x14ac:dyDescent="0.5">
      <c r="N161"/>
      <c r="O161" s="7"/>
      <c r="R161"/>
    </row>
    <row r="162" spans="14:18" x14ac:dyDescent="0.5">
      <c r="N162"/>
      <c r="O162" s="7"/>
      <c r="R162"/>
    </row>
    <row r="163" spans="14:18" x14ac:dyDescent="0.5">
      <c r="N163"/>
      <c r="O163" s="7"/>
      <c r="R163"/>
    </row>
    <row r="164" spans="14:18" x14ac:dyDescent="0.5">
      <c r="N164"/>
      <c r="O164" s="7"/>
      <c r="R164"/>
    </row>
    <row r="165" spans="14:18" x14ac:dyDescent="0.5">
      <c r="N165"/>
      <c r="O165" s="7"/>
      <c r="R165"/>
    </row>
    <row r="166" spans="14:18" x14ac:dyDescent="0.5">
      <c r="N166"/>
      <c r="O166" s="7"/>
      <c r="R166"/>
    </row>
    <row r="167" spans="14:18" x14ac:dyDescent="0.5">
      <c r="N167"/>
      <c r="O167" s="7"/>
      <c r="R167"/>
    </row>
    <row r="168" spans="14:18" x14ac:dyDescent="0.5">
      <c r="N168"/>
      <c r="O168" s="7"/>
      <c r="R168"/>
    </row>
    <row r="169" spans="14:18" x14ac:dyDescent="0.5">
      <c r="N169"/>
      <c r="O169" s="7"/>
      <c r="R169"/>
    </row>
    <row r="170" spans="14:18" x14ac:dyDescent="0.5">
      <c r="N170"/>
      <c r="O170" s="7"/>
      <c r="R170"/>
    </row>
    <row r="171" spans="14:18" x14ac:dyDescent="0.5">
      <c r="N171"/>
      <c r="O171" s="7"/>
      <c r="R171"/>
    </row>
    <row r="172" spans="14:18" x14ac:dyDescent="0.5">
      <c r="N172"/>
      <c r="O172" s="7"/>
      <c r="R172"/>
    </row>
    <row r="173" spans="14:18" x14ac:dyDescent="0.5">
      <c r="N173"/>
      <c r="O173" s="7"/>
      <c r="R173"/>
    </row>
    <row r="174" spans="14:18" x14ac:dyDescent="0.5">
      <c r="N174"/>
      <c r="O174" s="7"/>
      <c r="R174"/>
    </row>
    <row r="175" spans="14:18" x14ac:dyDescent="0.5">
      <c r="N175"/>
      <c r="O175" s="7"/>
      <c r="R175"/>
    </row>
    <row r="176" spans="14:18" x14ac:dyDescent="0.5">
      <c r="N176"/>
      <c r="O176" s="7"/>
      <c r="R176"/>
    </row>
    <row r="177" spans="14:18" x14ac:dyDescent="0.5">
      <c r="N177"/>
      <c r="O177" s="7"/>
      <c r="R177"/>
    </row>
    <row r="178" spans="14:18" x14ac:dyDescent="0.5">
      <c r="N178"/>
      <c r="O178" s="7"/>
      <c r="R178"/>
    </row>
    <row r="179" spans="14:18" x14ac:dyDescent="0.5">
      <c r="N179"/>
      <c r="O179" s="7"/>
      <c r="R179"/>
    </row>
    <row r="180" spans="14:18" x14ac:dyDescent="0.5">
      <c r="N180"/>
      <c r="O180" s="7"/>
      <c r="R180"/>
    </row>
    <row r="181" spans="14:18" x14ac:dyDescent="0.5">
      <c r="N181"/>
      <c r="O181" s="7"/>
      <c r="R181"/>
    </row>
    <row r="182" spans="14:18" x14ac:dyDescent="0.5">
      <c r="N182"/>
      <c r="O182" s="7"/>
      <c r="R182"/>
    </row>
    <row r="183" spans="14:18" x14ac:dyDescent="0.5">
      <c r="N183"/>
      <c r="O183" s="7"/>
      <c r="R183"/>
    </row>
    <row r="184" spans="14:18" x14ac:dyDescent="0.5">
      <c r="N184"/>
      <c r="O184" s="7"/>
      <c r="R184"/>
    </row>
    <row r="185" spans="14:18" x14ac:dyDescent="0.5">
      <c r="N185"/>
      <c r="O185" s="7"/>
      <c r="R185"/>
    </row>
    <row r="186" spans="14:18" x14ac:dyDescent="0.5">
      <c r="N186"/>
      <c r="O186" s="7"/>
      <c r="R186"/>
    </row>
    <row r="187" spans="14:18" x14ac:dyDescent="0.5">
      <c r="N187"/>
      <c r="O187" s="7"/>
      <c r="R187"/>
    </row>
    <row r="188" spans="14:18" x14ac:dyDescent="0.5">
      <c r="N188"/>
      <c r="O188" s="7"/>
      <c r="R188"/>
    </row>
    <row r="189" spans="14:18" x14ac:dyDescent="0.5">
      <c r="N189"/>
      <c r="O189" s="7"/>
      <c r="R189"/>
    </row>
    <row r="190" spans="14:18" x14ac:dyDescent="0.5">
      <c r="N190"/>
      <c r="O190" s="7"/>
      <c r="R190"/>
    </row>
    <row r="191" spans="14:18" x14ac:dyDescent="0.5">
      <c r="N191"/>
      <c r="O191" s="7"/>
      <c r="R191"/>
    </row>
    <row r="192" spans="14:18" x14ac:dyDescent="0.5">
      <c r="N192"/>
      <c r="O192" s="7"/>
      <c r="R192"/>
    </row>
    <row r="193" spans="14:18" x14ac:dyDescent="0.5">
      <c r="N193"/>
      <c r="O193" s="7"/>
      <c r="R193"/>
    </row>
    <row r="194" spans="14:18" x14ac:dyDescent="0.5">
      <c r="N194"/>
      <c r="O194" s="7"/>
      <c r="R194"/>
    </row>
    <row r="195" spans="14:18" x14ac:dyDescent="0.5">
      <c r="N195"/>
      <c r="O195" s="7"/>
      <c r="R195"/>
    </row>
    <row r="196" spans="14:18" x14ac:dyDescent="0.5">
      <c r="N196"/>
      <c r="O196" s="7"/>
      <c r="R196"/>
    </row>
    <row r="197" spans="14:18" x14ac:dyDescent="0.5">
      <c r="N197"/>
      <c r="O197" s="7"/>
      <c r="R197"/>
    </row>
    <row r="198" spans="14:18" x14ac:dyDescent="0.5">
      <c r="N198"/>
      <c r="O198" s="7"/>
      <c r="R198"/>
    </row>
    <row r="199" spans="14:18" x14ac:dyDescent="0.5">
      <c r="N199"/>
      <c r="O199" s="7"/>
      <c r="R199"/>
    </row>
    <row r="200" spans="14:18" x14ac:dyDescent="0.5">
      <c r="N200"/>
      <c r="O200" s="7"/>
      <c r="R200"/>
    </row>
    <row r="201" spans="14:18" x14ac:dyDescent="0.5">
      <c r="N201"/>
      <c r="O201" s="7"/>
      <c r="R201"/>
    </row>
    <row r="202" spans="14:18" x14ac:dyDescent="0.5">
      <c r="N202"/>
      <c r="O202" s="7"/>
      <c r="R202"/>
    </row>
    <row r="203" spans="14:18" x14ac:dyDescent="0.5">
      <c r="N203"/>
      <c r="O203" s="7"/>
      <c r="R203"/>
    </row>
    <row r="204" spans="14:18" x14ac:dyDescent="0.5">
      <c r="N204"/>
      <c r="O204" s="7"/>
      <c r="R204"/>
    </row>
    <row r="205" spans="14:18" x14ac:dyDescent="0.5">
      <c r="N205"/>
      <c r="O205" s="7"/>
      <c r="R205"/>
    </row>
    <row r="206" spans="14:18" x14ac:dyDescent="0.5">
      <c r="N206"/>
      <c r="O206" s="7"/>
      <c r="R206"/>
    </row>
    <row r="207" spans="14:18" x14ac:dyDescent="0.5">
      <c r="N207"/>
      <c r="O207" s="7"/>
      <c r="R207"/>
    </row>
    <row r="208" spans="14:18" x14ac:dyDescent="0.5">
      <c r="N208"/>
      <c r="O208" s="7"/>
      <c r="R208"/>
    </row>
    <row r="209" spans="14:18" x14ac:dyDescent="0.5">
      <c r="N209"/>
      <c r="O209" s="7"/>
      <c r="R209"/>
    </row>
    <row r="210" spans="14:18" x14ac:dyDescent="0.5">
      <c r="N210"/>
      <c r="O210" s="7"/>
      <c r="R210"/>
    </row>
    <row r="211" spans="14:18" x14ac:dyDescent="0.5">
      <c r="N211"/>
      <c r="O211" s="7"/>
      <c r="R211"/>
    </row>
    <row r="212" spans="14:18" x14ac:dyDescent="0.5">
      <c r="N212"/>
      <c r="O212" s="7"/>
      <c r="R212"/>
    </row>
    <row r="213" spans="14:18" x14ac:dyDescent="0.5">
      <c r="N213"/>
      <c r="O213" s="7"/>
      <c r="R213"/>
    </row>
    <row r="214" spans="14:18" x14ac:dyDescent="0.5">
      <c r="N214"/>
      <c r="O214" s="7"/>
      <c r="R214"/>
    </row>
    <row r="215" spans="14:18" x14ac:dyDescent="0.5">
      <c r="N215"/>
      <c r="O215" s="7"/>
      <c r="R215"/>
    </row>
    <row r="216" spans="14:18" x14ac:dyDescent="0.5">
      <c r="N216"/>
      <c r="O216" s="7"/>
      <c r="R216"/>
    </row>
    <row r="217" spans="14:18" x14ac:dyDescent="0.5">
      <c r="N217"/>
      <c r="O217" s="7"/>
      <c r="R217"/>
    </row>
  </sheetData>
  <autoFilter ref="P4:S70" xr:uid="{A97B0EAF-A99E-40C0-9F50-72FA849D9F9B}">
    <sortState xmlns:xlrd2="http://schemas.microsoft.com/office/spreadsheetml/2017/richdata2" ref="P5:S70">
      <sortCondition ref="S4:S70"/>
    </sortState>
  </autoFilter>
  <sortState xmlns:xlrd2="http://schemas.microsoft.com/office/spreadsheetml/2017/richdata2" ref="L5:L137">
    <sortCondition ref="L5:L137"/>
  </sortState>
  <mergeCells count="3">
    <mergeCell ref="B2:H2"/>
    <mergeCell ref="L2:N2"/>
    <mergeCell ref="P2:S2"/>
  </mergeCells>
  <conditionalFormatting sqref="Q1 Q3:Q137 Q218:Q1048576 N138:N217">
    <cfRule type="duplicateValues" dxfId="0" priority="1"/>
  </conditionalFormatting>
  <dataValidations count="1">
    <dataValidation type="list" allowBlank="1" showInputMessage="1" showErrorMessage="1" sqref="C5:C58" xr:uid="{3C8E6497-4870-4F73-B30C-E9FA7AA2C37D}">
      <formula1>t_kel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D5081-C22B-4F48-B5B5-F841AA445584}">
  <dimension ref="B2:O174"/>
  <sheetViews>
    <sheetView showGridLines="0" topLeftCell="E103" zoomScale="77" workbookViewId="0">
      <selection activeCell="I175" sqref="I175"/>
    </sheetView>
  </sheetViews>
  <sheetFormatPr defaultRowHeight="14.5" x14ac:dyDescent="0.35"/>
  <cols>
    <col min="1" max="1" width="4.6328125" customWidth="1"/>
    <col min="2" max="2" width="6.81640625" customWidth="1"/>
    <col min="3" max="3" width="35.36328125" bestFit="1" customWidth="1"/>
    <col min="4" max="4" width="32.7265625" bestFit="1" customWidth="1"/>
    <col min="6" max="6" width="32.54296875" bestFit="1" customWidth="1"/>
    <col min="9" max="9" width="23.453125" bestFit="1" customWidth="1"/>
    <col min="10" max="11" width="20.54296875" customWidth="1"/>
    <col min="12" max="12" width="23" bestFit="1" customWidth="1"/>
    <col min="14" max="14" width="6.6328125" customWidth="1"/>
    <col min="15" max="15" width="26.26953125" bestFit="1" customWidth="1"/>
  </cols>
  <sheetData>
    <row r="2" spans="2:15" x14ac:dyDescent="0.35">
      <c r="B2" s="3" t="s">
        <v>14</v>
      </c>
      <c r="H2" s="3" t="s">
        <v>27</v>
      </c>
      <c r="N2" s="3" t="s">
        <v>205</v>
      </c>
    </row>
    <row r="3" spans="2:15" x14ac:dyDescent="0.35">
      <c r="B3" t="s">
        <v>15</v>
      </c>
      <c r="C3" t="s">
        <v>16</v>
      </c>
      <c r="D3" t="s">
        <v>11</v>
      </c>
      <c r="F3" s="5" t="s">
        <v>11</v>
      </c>
      <c r="H3" t="s">
        <v>28</v>
      </c>
      <c r="I3" t="s">
        <v>29</v>
      </c>
      <c r="J3" t="s">
        <v>30</v>
      </c>
      <c r="K3" t="s">
        <v>151</v>
      </c>
      <c r="L3" t="s">
        <v>31</v>
      </c>
      <c r="N3" t="s">
        <v>28</v>
      </c>
      <c r="O3" t="s">
        <v>205</v>
      </c>
    </row>
    <row r="4" spans="2:15" x14ac:dyDescent="0.35">
      <c r="B4" s="2">
        <f>IF(Table5[[#This Row],[NAMA PROGRAM]]="","",ROW(H1))</f>
        <v>1</v>
      </c>
      <c r="C4" s="2" t="s">
        <v>164</v>
      </c>
      <c r="D4" s="2" t="s">
        <v>13</v>
      </c>
      <c r="F4" s="47" t="s">
        <v>13</v>
      </c>
      <c r="H4">
        <f>IF(Table2[[#This Row],[Kelurahan]]="","",ROW(M1))</f>
        <v>1</v>
      </c>
      <c r="I4" t="s">
        <v>301</v>
      </c>
      <c r="J4" t="s">
        <v>302</v>
      </c>
      <c r="K4" t="s">
        <v>283</v>
      </c>
      <c r="L4" t="s">
        <v>284</v>
      </c>
      <c r="N4">
        <f>IF(Table13[[#This Row],[Sasaran PM]]="","",ROW(Q1))</f>
        <v>1</v>
      </c>
      <c r="O4" t="s">
        <v>206</v>
      </c>
    </row>
    <row r="5" spans="2:15" x14ac:dyDescent="0.35">
      <c r="B5" s="2">
        <f>IF(Table5[[#This Row],[NAMA PROGRAM]]="","",ROW(H2))</f>
        <v>2</v>
      </c>
      <c r="C5" s="2" t="s">
        <v>170</v>
      </c>
      <c r="D5" s="2" t="s">
        <v>13</v>
      </c>
      <c r="F5" s="48" t="s">
        <v>233</v>
      </c>
      <c r="H5">
        <f>IF(Table2[[#This Row],[Kelurahan]]="","",ROW(M2))</f>
        <v>2</v>
      </c>
      <c r="I5" t="s">
        <v>290</v>
      </c>
      <c r="J5" t="s">
        <v>291</v>
      </c>
      <c r="K5" t="s">
        <v>283</v>
      </c>
      <c r="L5" t="s">
        <v>284</v>
      </c>
      <c r="N5">
        <f>IF(Table13[[#This Row],[Sasaran PM]]="","",ROW(Q2))</f>
        <v>2</v>
      </c>
      <c r="O5" t="s">
        <v>207</v>
      </c>
    </row>
    <row r="6" spans="2:15" x14ac:dyDescent="0.35">
      <c r="B6" s="2">
        <f>IF(Table5[[#This Row],[NAMA PROGRAM]]="","",ROW(H3))</f>
        <v>3</v>
      </c>
      <c r="C6" s="2" t="s">
        <v>202</v>
      </c>
      <c r="D6" s="2" t="s">
        <v>13</v>
      </c>
      <c r="F6" s="48" t="s">
        <v>171</v>
      </c>
      <c r="H6">
        <f>IF(Table2[[#This Row],[Kelurahan]]="","",ROW(M3))</f>
        <v>3</v>
      </c>
      <c r="I6" t="s">
        <v>294</v>
      </c>
      <c r="J6" t="s">
        <v>291</v>
      </c>
      <c r="K6" t="s">
        <v>283</v>
      </c>
      <c r="L6" t="s">
        <v>284</v>
      </c>
      <c r="N6">
        <f>IF(Table13[[#This Row],[Sasaran PM]]="","",ROW(Q3))</f>
        <v>3</v>
      </c>
      <c r="O6" t="s">
        <v>208</v>
      </c>
    </row>
    <row r="7" spans="2:15" x14ac:dyDescent="0.35">
      <c r="B7" s="2">
        <f>IF(Table5[[#This Row],[NAMA PROGRAM]]="","",ROW(H4))</f>
        <v>4</v>
      </c>
      <c r="C7" s="2" t="s">
        <v>203</v>
      </c>
      <c r="D7" s="2" t="s">
        <v>13</v>
      </c>
      <c r="F7" s="49" t="s">
        <v>1</v>
      </c>
      <c r="H7">
        <f>IF(Table2[[#This Row],[Kelurahan]]="","",ROW(M4))</f>
        <v>4</v>
      </c>
      <c r="I7" t="s">
        <v>295</v>
      </c>
      <c r="J7" t="s">
        <v>291</v>
      </c>
      <c r="K7" t="s">
        <v>283</v>
      </c>
      <c r="L7" t="s">
        <v>284</v>
      </c>
      <c r="N7">
        <f>IF(Table13[[#This Row],[Sasaran PM]]="","",ROW(Q4))</f>
        <v>4</v>
      </c>
      <c r="O7" t="s">
        <v>209</v>
      </c>
    </row>
    <row r="8" spans="2:15" x14ac:dyDescent="0.35">
      <c r="B8" s="2">
        <f>IF(Table5[[#This Row],[NAMA PROGRAM]]="","",ROW(H5))</f>
        <v>5</v>
      </c>
      <c r="C8" s="2" t="s">
        <v>204</v>
      </c>
      <c r="D8" s="2" t="s">
        <v>13</v>
      </c>
      <c r="F8" s="49" t="s">
        <v>12</v>
      </c>
      <c r="H8">
        <f>IF(Table2[[#This Row],[Kelurahan]]="","",ROW(M5))</f>
        <v>5</v>
      </c>
      <c r="I8" t="s">
        <v>308</v>
      </c>
      <c r="J8" t="s">
        <v>291</v>
      </c>
      <c r="K8" t="s">
        <v>283</v>
      </c>
      <c r="L8" t="s">
        <v>284</v>
      </c>
      <c r="N8">
        <f>IF(Table13[[#This Row],[Sasaran PM]]="","",ROW(Q5))</f>
        <v>5</v>
      </c>
      <c r="O8" t="s">
        <v>210</v>
      </c>
    </row>
    <row r="9" spans="2:15" x14ac:dyDescent="0.35">
      <c r="B9" s="2">
        <f>IF(Table5[[#This Row],[NAMA PROGRAM]]="","",ROW(H6))</f>
        <v>6</v>
      </c>
      <c r="C9" s="2" t="s">
        <v>218</v>
      </c>
      <c r="D9" s="2" t="s">
        <v>13</v>
      </c>
      <c r="F9" s="49" t="s">
        <v>4</v>
      </c>
      <c r="H9">
        <f>IF(Table2[[#This Row],[Kelurahan]]="","",ROW(M6))</f>
        <v>6</v>
      </c>
      <c r="I9" t="s">
        <v>304</v>
      </c>
      <c r="J9" t="s">
        <v>305</v>
      </c>
      <c r="K9" t="s">
        <v>283</v>
      </c>
      <c r="L9" t="s">
        <v>284</v>
      </c>
      <c r="N9">
        <f>IF(Table13[[#This Row],[Sasaran PM]]="","",ROW(Q6))</f>
        <v>6</v>
      </c>
      <c r="O9" t="s">
        <v>211</v>
      </c>
    </row>
    <row r="10" spans="2:15" x14ac:dyDescent="0.35">
      <c r="B10" s="2">
        <f>IF(Table5[[#This Row],[NAMA PROGRAM]]="","",ROW(H7))</f>
        <v>7</v>
      </c>
      <c r="C10" s="2" t="s">
        <v>219</v>
      </c>
      <c r="D10" s="2" t="s">
        <v>13</v>
      </c>
      <c r="F10" s="49" t="s">
        <v>312</v>
      </c>
      <c r="H10">
        <f>IF(Table2[[#This Row],[Kelurahan]]="","",ROW(M7))</f>
        <v>7</v>
      </c>
      <c r="I10" t="s">
        <v>297</v>
      </c>
      <c r="J10" t="s">
        <v>287</v>
      </c>
      <c r="K10" t="s">
        <v>283</v>
      </c>
      <c r="L10" t="s">
        <v>284</v>
      </c>
      <c r="N10">
        <f>IF(Table13[[#This Row],[Sasaran PM]]="","",ROW(Q7))</f>
        <v>7</v>
      </c>
      <c r="O10" t="s">
        <v>212</v>
      </c>
    </row>
    <row r="11" spans="2:15" x14ac:dyDescent="0.35">
      <c r="B11" s="2">
        <f>IF(Table5[[#This Row],[NAMA PROGRAM]]="","",ROW(H8))</f>
        <v>8</v>
      </c>
      <c r="C11" s="2" t="s">
        <v>225</v>
      </c>
      <c r="D11" s="2" t="s">
        <v>13</v>
      </c>
      <c r="F11" s="49" t="s">
        <v>253</v>
      </c>
      <c r="H11">
        <f>IF(Table2[[#This Row],[Kelurahan]]="","",ROW(M8))</f>
        <v>8</v>
      </c>
      <c r="I11" t="s">
        <v>306</v>
      </c>
      <c r="J11" t="s">
        <v>282</v>
      </c>
      <c r="K11" t="s">
        <v>283</v>
      </c>
      <c r="L11" t="s">
        <v>284</v>
      </c>
      <c r="N11">
        <f>IF(Table13[[#This Row],[Sasaran PM]]="","",ROW(Q8))</f>
        <v>8</v>
      </c>
      <c r="O11" t="s">
        <v>213</v>
      </c>
    </row>
    <row r="12" spans="2:15" x14ac:dyDescent="0.35">
      <c r="B12" s="2">
        <f>IF(Table5[[#This Row],[NAMA PROGRAM]]="","",ROW(H9))</f>
        <v>9</v>
      </c>
      <c r="C12" s="2" t="s">
        <v>228</v>
      </c>
      <c r="D12" s="2" t="s">
        <v>13</v>
      </c>
      <c r="F12" s="49" t="s">
        <v>252</v>
      </c>
      <c r="H12">
        <f>IF(Table2[[#This Row],[Kelurahan]]="","",ROW(M9))</f>
        <v>9</v>
      </c>
      <c r="I12" t="s">
        <v>303</v>
      </c>
      <c r="J12" t="s">
        <v>282</v>
      </c>
      <c r="K12" t="s">
        <v>283</v>
      </c>
      <c r="L12" t="s">
        <v>284</v>
      </c>
      <c r="N12">
        <f>IF(Table13[[#This Row],[Sasaran PM]]="","",ROW(Q9))</f>
        <v>9</v>
      </c>
      <c r="O12" t="s">
        <v>214</v>
      </c>
    </row>
    <row r="13" spans="2:15" x14ac:dyDescent="0.35">
      <c r="B13" s="4">
        <f>IF(Table5[[#This Row],[NAMA PROGRAM]]="","",ROW(H10))</f>
        <v>10</v>
      </c>
      <c r="C13" s="4" t="s">
        <v>229</v>
      </c>
      <c r="D13" s="4" t="s">
        <v>13</v>
      </c>
      <c r="F13" s="49" t="s">
        <v>251</v>
      </c>
      <c r="H13">
        <f>IF(Table2[[#This Row],[Kelurahan]]="","",ROW(M10))</f>
        <v>10</v>
      </c>
      <c r="I13" t="s">
        <v>281</v>
      </c>
      <c r="J13" t="s">
        <v>282</v>
      </c>
      <c r="K13" t="s">
        <v>283</v>
      </c>
      <c r="L13" t="s">
        <v>284</v>
      </c>
      <c r="N13">
        <f>IF(Table13[[#This Row],[Sasaran PM]]="","",ROW(Q10))</f>
        <v>10</v>
      </c>
      <c r="O13" t="s">
        <v>215</v>
      </c>
    </row>
    <row r="14" spans="2:15" x14ac:dyDescent="0.35">
      <c r="B14" s="4">
        <f>IF(Table5[[#This Row],[NAMA PROGRAM]]="","",ROW(H11))</f>
        <v>11</v>
      </c>
      <c r="C14" s="4" t="s">
        <v>298</v>
      </c>
      <c r="D14" s="4" t="s">
        <v>13</v>
      </c>
      <c r="F14" s="49" t="s">
        <v>257</v>
      </c>
      <c r="H14">
        <f>IF(Table2[[#This Row],[Kelurahan]]="","",ROW(M11))</f>
        <v>11</v>
      </c>
      <c r="I14" t="s">
        <v>292</v>
      </c>
      <c r="J14" t="s">
        <v>293</v>
      </c>
      <c r="K14" t="s">
        <v>283</v>
      </c>
      <c r="L14" t="s">
        <v>284</v>
      </c>
      <c r="N14">
        <f>IF(Table13[[#This Row],[Sasaran PM]]="","",ROW(Q11))</f>
        <v>11</v>
      </c>
      <c r="O14" t="s">
        <v>216</v>
      </c>
    </row>
    <row r="15" spans="2:15" x14ac:dyDescent="0.35">
      <c r="B15" s="4">
        <f>IF(Table5[[#This Row],[NAMA PROGRAM]]="","",ROW(H12))</f>
        <v>12</v>
      </c>
      <c r="C15" s="4" t="s">
        <v>299</v>
      </c>
      <c r="D15" s="4" t="s">
        <v>13</v>
      </c>
      <c r="F15" s="49" t="s">
        <v>313</v>
      </c>
      <c r="H15">
        <f>IF(Table2[[#This Row],[Kelurahan]]="","",ROW(M12))</f>
        <v>12</v>
      </c>
      <c r="I15" t="s">
        <v>286</v>
      </c>
      <c r="J15" t="s">
        <v>287</v>
      </c>
      <c r="K15" t="s">
        <v>288</v>
      </c>
      <c r="L15" t="s">
        <v>284</v>
      </c>
      <c r="N15">
        <f>IF(Table13[[#This Row],[Sasaran PM]]="","",ROW(Q12))</f>
        <v>12</v>
      </c>
      <c r="O15" t="s">
        <v>220</v>
      </c>
    </row>
    <row r="16" spans="2:15" x14ac:dyDescent="0.35">
      <c r="B16" s="4">
        <f>IF(Table5[[#This Row],[NAMA PROGRAM]]="","",ROW(H13))</f>
        <v>13</v>
      </c>
      <c r="C16" s="4" t="s">
        <v>232</v>
      </c>
      <c r="D16" s="4" t="s">
        <v>233</v>
      </c>
      <c r="F16" s="49" t="s">
        <v>10</v>
      </c>
      <c r="H16">
        <f>IF(Table2[[#This Row],[Kelurahan]]="","",ROW(M13))</f>
        <v>13</v>
      </c>
      <c r="I16" t="s">
        <v>285</v>
      </c>
      <c r="J16" t="s">
        <v>275</v>
      </c>
      <c r="K16" t="s">
        <v>276</v>
      </c>
      <c r="L16" t="s">
        <v>277</v>
      </c>
      <c r="N16">
        <f>IF(Table13[[#This Row],[Sasaran PM]]="","",ROW(Q13))</f>
        <v>13</v>
      </c>
      <c r="O16" t="s">
        <v>241</v>
      </c>
    </row>
    <row r="17" spans="2:12" x14ac:dyDescent="0.35">
      <c r="B17" s="4">
        <f>IF(Table5[[#This Row],[NAMA PROGRAM]]="","",ROW(H14))</f>
        <v>14</v>
      </c>
      <c r="C17" s="4" t="s">
        <v>234</v>
      </c>
      <c r="D17" s="4" t="s">
        <v>233</v>
      </c>
      <c r="F17" s="49"/>
      <c r="H17">
        <f>IF(Table2[[#This Row],[Kelurahan]]="","",ROW(M14))</f>
        <v>14</v>
      </c>
      <c r="I17" t="s">
        <v>274</v>
      </c>
      <c r="J17" t="s">
        <v>275</v>
      </c>
      <c r="K17" t="s">
        <v>276</v>
      </c>
      <c r="L17" t="s">
        <v>277</v>
      </c>
    </row>
    <row r="18" spans="2:12" x14ac:dyDescent="0.35">
      <c r="B18" s="4">
        <f>IF(Table5[[#This Row],[NAMA PROGRAM]]="","",ROW(H15))</f>
        <v>15</v>
      </c>
      <c r="C18" s="4" t="s">
        <v>245</v>
      </c>
      <c r="D18" s="4" t="s">
        <v>233</v>
      </c>
      <c r="H18">
        <f>IF(Table2[[#This Row],[Kelurahan]]="","",ROW(M15))</f>
        <v>15</v>
      </c>
      <c r="I18" t="s">
        <v>174</v>
      </c>
      <c r="J18" t="s">
        <v>87</v>
      </c>
      <c r="K18" t="s">
        <v>155</v>
      </c>
      <c r="L18" t="s">
        <v>150</v>
      </c>
    </row>
    <row r="19" spans="2:12" x14ac:dyDescent="0.35">
      <c r="B19" s="4">
        <f>IF(Table5[[#This Row],[NAMA PROGRAM]]="","",ROW(H16))</f>
        <v>16</v>
      </c>
      <c r="C19" s="4" t="s">
        <v>173</v>
      </c>
      <c r="D19" s="4" t="s">
        <v>171</v>
      </c>
      <c r="H19">
        <f>IF(Table2[[#This Row],[Kelurahan]]="","",ROW(M16))</f>
        <v>16</v>
      </c>
      <c r="I19" t="s">
        <v>165</v>
      </c>
      <c r="J19" t="s">
        <v>35</v>
      </c>
      <c r="K19" t="s">
        <v>155</v>
      </c>
      <c r="L19" t="s">
        <v>150</v>
      </c>
    </row>
    <row r="20" spans="2:12" x14ac:dyDescent="0.35">
      <c r="B20" s="4">
        <f>IF(Table5[[#This Row],[NAMA PROGRAM]]="","",ROW(H17))</f>
        <v>17</v>
      </c>
      <c r="C20" s="4" t="s">
        <v>172</v>
      </c>
      <c r="D20" s="4" t="s">
        <v>171</v>
      </c>
      <c r="H20">
        <f>IF(Table2[[#This Row],[Kelurahan]]="","",ROW(M17))</f>
        <v>17</v>
      </c>
      <c r="I20" t="s">
        <v>166</v>
      </c>
      <c r="J20" t="s">
        <v>35</v>
      </c>
      <c r="K20" t="s">
        <v>155</v>
      </c>
      <c r="L20" t="s">
        <v>150</v>
      </c>
    </row>
    <row r="21" spans="2:12" x14ac:dyDescent="0.35">
      <c r="B21" s="4">
        <f>IF(Table5[[#This Row],[NAMA PROGRAM]]="","",ROW(H18))</f>
        <v>18</v>
      </c>
      <c r="C21" s="4" t="s">
        <v>9</v>
      </c>
      <c r="D21" s="4" t="s">
        <v>1</v>
      </c>
      <c r="H21">
        <f>IF(Table2[[#This Row],[Kelurahan]]="","",ROW(M18))</f>
        <v>18</v>
      </c>
      <c r="I21" t="s">
        <v>154</v>
      </c>
      <c r="J21" t="s">
        <v>35</v>
      </c>
      <c r="K21" t="s">
        <v>155</v>
      </c>
      <c r="L21" t="s">
        <v>150</v>
      </c>
    </row>
    <row r="22" spans="2:12" x14ac:dyDescent="0.35">
      <c r="B22" s="4">
        <f>IF(Table5[[#This Row],[NAMA PROGRAM]]="","",ROW(H19))</f>
        <v>19</v>
      </c>
      <c r="C22" s="4" t="s">
        <v>0</v>
      </c>
      <c r="D22" s="4" t="s">
        <v>1</v>
      </c>
      <c r="H22">
        <f>IF(Table2[[#This Row],[Kelurahan]]="","",ROW(M19))</f>
        <v>19</v>
      </c>
      <c r="I22" t="s">
        <v>227</v>
      </c>
      <c r="J22" t="s">
        <v>35</v>
      </c>
      <c r="K22" t="s">
        <v>155</v>
      </c>
      <c r="L22" t="s">
        <v>150</v>
      </c>
    </row>
    <row r="23" spans="2:12" x14ac:dyDescent="0.35">
      <c r="B23" s="4">
        <f>IF(Table5[[#This Row],[NAMA PROGRAM]]="","",ROW(H20))</f>
        <v>20</v>
      </c>
      <c r="C23" s="4" t="s">
        <v>17</v>
      </c>
      <c r="D23" s="4" t="s">
        <v>1</v>
      </c>
      <c r="H23">
        <f>IF(Table2[[#This Row],[Kelurahan]]="","",ROW(M20))</f>
        <v>20</v>
      </c>
      <c r="I23" t="s">
        <v>168</v>
      </c>
      <c r="J23" t="s">
        <v>35</v>
      </c>
      <c r="K23" t="s">
        <v>155</v>
      </c>
      <c r="L23" t="s">
        <v>150</v>
      </c>
    </row>
    <row r="24" spans="2:12" x14ac:dyDescent="0.35">
      <c r="B24" s="4">
        <f>IF(Table5[[#This Row],[NAMA PROGRAM]]="","",ROW(H21))</f>
        <v>21</v>
      </c>
      <c r="C24" s="4" t="s">
        <v>18</v>
      </c>
      <c r="D24" s="4" t="s">
        <v>1</v>
      </c>
      <c r="H24">
        <f>IF(Table2[[#This Row],[Kelurahan]]="","",ROW(M21))</f>
        <v>21</v>
      </c>
      <c r="I24" t="s">
        <v>264</v>
      </c>
      <c r="J24" t="s">
        <v>261</v>
      </c>
      <c r="K24" t="s">
        <v>262</v>
      </c>
      <c r="L24" t="s">
        <v>263</v>
      </c>
    </row>
    <row r="25" spans="2:12" x14ac:dyDescent="0.35">
      <c r="B25" s="4">
        <f>IF(Table5[[#This Row],[NAMA PROGRAM]]="","",ROW(H22))</f>
        <v>22</v>
      </c>
      <c r="C25" s="4" t="s">
        <v>20</v>
      </c>
      <c r="D25" s="4" t="s">
        <v>1</v>
      </c>
      <c r="H25">
        <f>IF(Table2[[#This Row],[Kelurahan]]="","",ROW(M22))</f>
        <v>22</v>
      </c>
      <c r="I25" t="s">
        <v>260</v>
      </c>
      <c r="J25" t="s">
        <v>261</v>
      </c>
      <c r="K25" t="s">
        <v>262</v>
      </c>
      <c r="L25" t="s">
        <v>263</v>
      </c>
    </row>
    <row r="26" spans="2:12" x14ac:dyDescent="0.35">
      <c r="B26" s="4">
        <f>IF(Table5[[#This Row],[NAMA PROGRAM]]="","",ROW(H23))</f>
        <v>23</v>
      </c>
      <c r="C26" s="4" t="s">
        <v>21</v>
      </c>
      <c r="D26" s="4" t="s">
        <v>1</v>
      </c>
      <c r="H26">
        <f>IF(Table2[[#This Row],[Kelurahan]]="","",ROW(M23))</f>
        <v>23</v>
      </c>
      <c r="I26" t="s">
        <v>266</v>
      </c>
      <c r="J26" t="s">
        <v>268</v>
      </c>
      <c r="K26" t="s">
        <v>265</v>
      </c>
      <c r="L26" t="s">
        <v>267</v>
      </c>
    </row>
    <row r="27" spans="2:12" x14ac:dyDescent="0.35">
      <c r="B27" s="4">
        <f>IF(Table5[[#This Row],[NAMA PROGRAM]]="","",ROW(H24))</f>
        <v>24</v>
      </c>
      <c r="C27" s="4" t="s">
        <v>239</v>
      </c>
      <c r="D27" s="4" t="s">
        <v>1</v>
      </c>
      <c r="H27">
        <f>IF(Table2[[#This Row],[Kelurahan]]="","",ROW(M24))</f>
        <v>24</v>
      </c>
      <c r="I27" t="s">
        <v>272</v>
      </c>
      <c r="J27" t="s">
        <v>269</v>
      </c>
      <c r="K27" t="s">
        <v>265</v>
      </c>
      <c r="L27" t="s">
        <v>267</v>
      </c>
    </row>
    <row r="28" spans="2:12" x14ac:dyDescent="0.35">
      <c r="B28" s="4">
        <f>IF(Table5[[#This Row],[NAMA PROGRAM]]="","",ROW(H25))</f>
        <v>25</v>
      </c>
      <c r="C28" s="4" t="s">
        <v>153</v>
      </c>
      <c r="D28" s="4" t="s">
        <v>1</v>
      </c>
      <c r="H28">
        <f>IF(Table2[[#This Row],[Kelurahan]]="","",ROW(M25))</f>
        <v>25</v>
      </c>
      <c r="I28" t="s">
        <v>270</v>
      </c>
      <c r="J28" t="s">
        <v>269</v>
      </c>
      <c r="K28" t="s">
        <v>265</v>
      </c>
      <c r="L28" t="s">
        <v>267</v>
      </c>
    </row>
    <row r="29" spans="2:12" x14ac:dyDescent="0.35">
      <c r="B29" s="4">
        <f>IF(Table5[[#This Row],[NAMA PROGRAM]]="","",ROW(H26))</f>
        <v>26</v>
      </c>
      <c r="C29" s="4" t="s">
        <v>159</v>
      </c>
      <c r="D29" s="4" t="s">
        <v>1</v>
      </c>
      <c r="H29">
        <f>IF(Table2[[#This Row],[Kelurahan]]="","",ROW(M26))</f>
        <v>26</v>
      </c>
      <c r="I29" t="s">
        <v>273</v>
      </c>
      <c r="J29" t="s">
        <v>273</v>
      </c>
      <c r="K29" t="s">
        <v>265</v>
      </c>
      <c r="L29" t="s">
        <v>267</v>
      </c>
    </row>
    <row r="30" spans="2:12" x14ac:dyDescent="0.35">
      <c r="B30" s="4">
        <f>IF(Table5[[#This Row],[NAMA PROGRAM]]="","",ROW(H27))</f>
        <v>27</v>
      </c>
      <c r="C30" s="4" t="s">
        <v>163</v>
      </c>
      <c r="D30" s="4" t="s">
        <v>1</v>
      </c>
      <c r="H30">
        <f>IF(Table2[[#This Row],[Kelurahan]]="","",ROW(M27))</f>
        <v>27</v>
      </c>
      <c r="I30" t="s">
        <v>221</v>
      </c>
      <c r="J30" t="s">
        <v>222</v>
      </c>
      <c r="K30" t="s">
        <v>223</v>
      </c>
      <c r="L30" t="s">
        <v>150</v>
      </c>
    </row>
    <row r="31" spans="2:12" x14ac:dyDescent="0.35">
      <c r="B31" s="4">
        <f>IF(Table5[[#This Row],[NAMA PROGRAM]]="","",ROW(H28))</f>
        <v>28</v>
      </c>
      <c r="C31" s="4" t="s">
        <v>167</v>
      </c>
      <c r="D31" s="4" t="s">
        <v>1</v>
      </c>
      <c r="H31">
        <f>IF(Table2[[#This Row],[Kelurahan]]="","",ROW(M28))</f>
        <v>28</v>
      </c>
      <c r="I31" t="s">
        <v>248</v>
      </c>
      <c r="J31" t="s">
        <v>247</v>
      </c>
      <c r="K31" t="s">
        <v>157</v>
      </c>
      <c r="L31" t="s">
        <v>150</v>
      </c>
    </row>
    <row r="32" spans="2:12" x14ac:dyDescent="0.35">
      <c r="B32" s="4">
        <f>IF(Table5[[#This Row],[NAMA PROGRAM]]="","",ROW(H29))</f>
        <v>29</v>
      </c>
      <c r="C32" s="4" t="s">
        <v>217</v>
      </c>
      <c r="D32" s="4" t="s">
        <v>1</v>
      </c>
      <c r="H32">
        <f>IF(Table2[[#This Row],[Kelurahan]]="","",ROW(M29))</f>
        <v>29</v>
      </c>
      <c r="I32" t="s">
        <v>249</v>
      </c>
      <c r="J32" t="s">
        <v>250</v>
      </c>
      <c r="K32" t="s">
        <v>157</v>
      </c>
      <c r="L32" t="s">
        <v>150</v>
      </c>
    </row>
    <row r="33" spans="2:12" x14ac:dyDescent="0.35">
      <c r="B33" s="4">
        <f>IF(Table5[[#This Row],[NAMA PROGRAM]]="","",ROW(H30))</f>
        <v>30</v>
      </c>
      <c r="C33" s="4" t="s">
        <v>226</v>
      </c>
      <c r="D33" s="4" t="s">
        <v>1</v>
      </c>
      <c r="H33">
        <f>IF(Table2[[#This Row],[Kelurahan]]="","",ROW(M30))</f>
        <v>30</v>
      </c>
      <c r="I33" t="s">
        <v>158</v>
      </c>
      <c r="J33" t="s">
        <v>156</v>
      </c>
      <c r="K33" t="s">
        <v>157</v>
      </c>
      <c r="L33" t="s">
        <v>150</v>
      </c>
    </row>
    <row r="34" spans="2:12" x14ac:dyDescent="0.35">
      <c r="B34" s="4">
        <f>IF(Table5[[#This Row],[NAMA PROGRAM]]="","",ROW(H31))</f>
        <v>31</v>
      </c>
      <c r="C34" s="4" t="s">
        <v>231</v>
      </c>
      <c r="D34" s="4" t="s">
        <v>1</v>
      </c>
      <c r="H34">
        <f>IF(Table2[[#This Row],[Kelurahan]]="","",ROW(M31))</f>
        <v>31</v>
      </c>
      <c r="I34" t="s">
        <v>236</v>
      </c>
      <c r="J34" t="s">
        <v>235</v>
      </c>
      <c r="K34" t="s">
        <v>157</v>
      </c>
      <c r="L34" t="s">
        <v>150</v>
      </c>
    </row>
    <row r="35" spans="2:12" x14ac:dyDescent="0.35">
      <c r="B35" s="4">
        <f>IF(Table5[[#This Row],[NAMA PROGRAM]]="","",ROW(H32))</f>
        <v>32</v>
      </c>
      <c r="C35" s="4" t="s">
        <v>185</v>
      </c>
      <c r="D35" s="4" t="s">
        <v>1</v>
      </c>
      <c r="H35">
        <f>IF(Table2[[#This Row],[Kelurahan]]="","",ROW(M32))</f>
        <v>32</v>
      </c>
      <c r="I35" t="s">
        <v>32</v>
      </c>
      <c r="J35" t="s">
        <v>32</v>
      </c>
      <c r="K35" t="s">
        <v>152</v>
      </c>
      <c r="L35" t="s">
        <v>150</v>
      </c>
    </row>
    <row r="36" spans="2:12" x14ac:dyDescent="0.35">
      <c r="B36" s="4">
        <f>IF(Table5[[#This Row],[NAMA PROGRAM]]="","",ROW(H33))</f>
        <v>33</v>
      </c>
      <c r="C36" s="4" t="s">
        <v>6</v>
      </c>
      <c r="D36" s="4" t="s">
        <v>4</v>
      </c>
      <c r="H36">
        <f>IF(Table2[[#This Row],[Kelurahan]]="","",ROW(M33))</f>
        <v>33</v>
      </c>
      <c r="I36" t="s">
        <v>33</v>
      </c>
      <c r="J36" t="s">
        <v>32</v>
      </c>
      <c r="K36" t="s">
        <v>152</v>
      </c>
      <c r="L36" t="s">
        <v>150</v>
      </c>
    </row>
    <row r="37" spans="2:12" x14ac:dyDescent="0.35">
      <c r="B37" s="4">
        <f>IF(Table5[[#This Row],[NAMA PROGRAM]]="","",ROW(H34))</f>
        <v>34</v>
      </c>
      <c r="C37" s="4" t="s">
        <v>7</v>
      </c>
      <c r="D37" s="4" t="s">
        <v>4</v>
      </c>
      <c r="H37">
        <f>IF(Table2[[#This Row],[Kelurahan]]="","",ROW(M34))</f>
        <v>34</v>
      </c>
      <c r="I37" t="s">
        <v>34</v>
      </c>
      <c r="J37" t="s">
        <v>32</v>
      </c>
      <c r="K37" t="s">
        <v>152</v>
      </c>
      <c r="L37" t="s">
        <v>150</v>
      </c>
    </row>
    <row r="38" spans="2:12" x14ac:dyDescent="0.35">
      <c r="B38" s="4">
        <f>IF(Table5[[#This Row],[NAMA PROGRAM]]="","",ROW(H35))</f>
        <v>35</v>
      </c>
      <c r="C38" s="4" t="s">
        <v>3</v>
      </c>
      <c r="D38" s="4" t="s">
        <v>4</v>
      </c>
      <c r="H38">
        <f>IF(Table2[[#This Row],[Kelurahan]]="","",ROW(M35))</f>
        <v>35</v>
      </c>
      <c r="I38" t="s">
        <v>35</v>
      </c>
      <c r="J38" t="s">
        <v>32</v>
      </c>
      <c r="K38" t="s">
        <v>152</v>
      </c>
      <c r="L38" t="s">
        <v>150</v>
      </c>
    </row>
    <row r="39" spans="2:12" x14ac:dyDescent="0.35">
      <c r="B39" s="4">
        <f>IF(Table5[[#This Row],[NAMA PROGRAM]]="","",ROW(H36))</f>
        <v>36</v>
      </c>
      <c r="C39" s="4" t="s">
        <v>2</v>
      </c>
      <c r="D39" s="4" t="s">
        <v>4</v>
      </c>
      <c r="H39">
        <f>IF(Table2[[#This Row],[Kelurahan]]="","",ROW(M36))</f>
        <v>36</v>
      </c>
      <c r="I39" t="s">
        <v>36</v>
      </c>
      <c r="J39" t="s">
        <v>136</v>
      </c>
      <c r="K39" t="s">
        <v>152</v>
      </c>
      <c r="L39" t="s">
        <v>150</v>
      </c>
    </row>
    <row r="40" spans="2:12" x14ac:dyDescent="0.35">
      <c r="B40" s="4">
        <f>IF(Table5[[#This Row],[NAMA PROGRAM]]="","",ROW(H37))</f>
        <v>37</v>
      </c>
      <c r="C40" s="4" t="s">
        <v>246</v>
      </c>
      <c r="D40" s="4" t="s">
        <v>4</v>
      </c>
      <c r="H40">
        <f>IF(Table2[[#This Row],[Kelurahan]]="","",ROW(M37))</f>
        <v>37</v>
      </c>
      <c r="I40" t="s">
        <v>37</v>
      </c>
      <c r="J40" t="s">
        <v>136</v>
      </c>
      <c r="K40" t="s">
        <v>152</v>
      </c>
      <c r="L40" t="s">
        <v>150</v>
      </c>
    </row>
    <row r="41" spans="2:12" x14ac:dyDescent="0.35">
      <c r="B41" s="4">
        <f>IF(Table5[[#This Row],[NAMA PROGRAM]]="","",ROW(H38))</f>
        <v>38</v>
      </c>
      <c r="C41" s="4" t="s">
        <v>296</v>
      </c>
      <c r="D41" s="4" t="s">
        <v>312</v>
      </c>
      <c r="H41">
        <f>IF(Table2[[#This Row],[Kelurahan]]="","",ROW(M38))</f>
        <v>38</v>
      </c>
      <c r="I41" t="s">
        <v>137</v>
      </c>
      <c r="J41" t="s">
        <v>136</v>
      </c>
      <c r="K41" t="s">
        <v>152</v>
      </c>
      <c r="L41" t="s">
        <v>150</v>
      </c>
    </row>
    <row r="42" spans="2:12" x14ac:dyDescent="0.35">
      <c r="B42" s="4">
        <f>IF(Table5[[#This Row],[NAMA PROGRAM]]="","",ROW(H39))</f>
        <v>39</v>
      </c>
      <c r="C42" s="4" t="s">
        <v>377</v>
      </c>
      <c r="D42" s="4" t="s">
        <v>312</v>
      </c>
      <c r="H42">
        <f>IF(Table2[[#This Row],[Kelurahan]]="","",ROW(M39))</f>
        <v>39</v>
      </c>
      <c r="I42" t="s">
        <v>38</v>
      </c>
      <c r="J42" t="s">
        <v>136</v>
      </c>
      <c r="K42" t="s">
        <v>152</v>
      </c>
      <c r="L42" t="s">
        <v>150</v>
      </c>
    </row>
    <row r="43" spans="2:12" x14ac:dyDescent="0.35">
      <c r="B43" s="4">
        <f>IF(Table5[[#This Row],[NAMA PROGRAM]]="","",ROW(H40))</f>
        <v>40</v>
      </c>
      <c r="C43" s="4" t="s">
        <v>259</v>
      </c>
      <c r="D43" s="4" t="s">
        <v>253</v>
      </c>
      <c r="H43">
        <f>IF(Table2[[#This Row],[Kelurahan]]="","",ROW(M40))</f>
        <v>40</v>
      </c>
      <c r="I43" t="s">
        <v>39</v>
      </c>
      <c r="J43" t="s">
        <v>136</v>
      </c>
      <c r="K43" t="s">
        <v>152</v>
      </c>
      <c r="L43" t="s">
        <v>150</v>
      </c>
    </row>
    <row r="44" spans="2:12" x14ac:dyDescent="0.35">
      <c r="B44" s="4">
        <f>IF(Table5[[#This Row],[NAMA PROGRAM]]="","",ROW(H41))</f>
        <v>41</v>
      </c>
      <c r="C44" s="4" t="s">
        <v>271</v>
      </c>
      <c r="D44" s="4" t="s">
        <v>253</v>
      </c>
      <c r="H44">
        <f>IF(Table2[[#This Row],[Kelurahan]]="","",ROW(M41))</f>
        <v>41</v>
      </c>
      <c r="I44" t="s">
        <v>40</v>
      </c>
      <c r="J44" t="s">
        <v>136</v>
      </c>
      <c r="K44" t="s">
        <v>152</v>
      </c>
      <c r="L44" t="s">
        <v>150</v>
      </c>
    </row>
    <row r="45" spans="2:12" x14ac:dyDescent="0.35">
      <c r="B45" s="4">
        <f>IF(Table5[[#This Row],[NAMA PROGRAM]]="","",ROW(H42))</f>
        <v>42</v>
      </c>
      <c r="C45" s="4" t="s">
        <v>289</v>
      </c>
      <c r="D45" s="4" t="s">
        <v>253</v>
      </c>
      <c r="H45">
        <f>IF(Table2[[#This Row],[Kelurahan]]="","",ROW(M42))</f>
        <v>42</v>
      </c>
      <c r="I45" t="s">
        <v>41</v>
      </c>
      <c r="J45" t="s">
        <v>42</v>
      </c>
      <c r="K45" t="s">
        <v>152</v>
      </c>
      <c r="L45" t="s">
        <v>150</v>
      </c>
    </row>
    <row r="46" spans="2:12" x14ac:dyDescent="0.35">
      <c r="B46" s="4">
        <f>IF(Table5[[#This Row],[NAMA PROGRAM]]="","",ROW(H43))</f>
        <v>43</v>
      </c>
      <c r="C46" s="4" t="s">
        <v>258</v>
      </c>
      <c r="D46" s="4" t="s">
        <v>251</v>
      </c>
      <c r="H46">
        <f>IF(Table2[[#This Row],[Kelurahan]]="","",ROW(M43))</f>
        <v>43</v>
      </c>
      <c r="I46" t="s">
        <v>42</v>
      </c>
      <c r="J46" t="s">
        <v>42</v>
      </c>
      <c r="K46" t="s">
        <v>152</v>
      </c>
      <c r="L46" t="s">
        <v>150</v>
      </c>
    </row>
    <row r="47" spans="2:12" x14ac:dyDescent="0.35">
      <c r="B47" s="4">
        <f>IF(Table5[[#This Row],[NAMA PROGRAM]]="","",ROW(H44))</f>
        <v>44</v>
      </c>
      <c r="C47" s="4" t="s">
        <v>319</v>
      </c>
      <c r="D47" s="4" t="s">
        <v>251</v>
      </c>
      <c r="H47">
        <f>IF(Table2[[#This Row],[Kelurahan]]="","",ROW(M44))</f>
        <v>44</v>
      </c>
      <c r="I47" t="s">
        <v>43</v>
      </c>
      <c r="J47" t="s">
        <v>42</v>
      </c>
      <c r="K47" t="s">
        <v>152</v>
      </c>
      <c r="L47" t="s">
        <v>150</v>
      </c>
    </row>
    <row r="48" spans="2:12" x14ac:dyDescent="0.35">
      <c r="B48" s="4">
        <f>IF(Table5[[#This Row],[NAMA PROGRAM]]="","",ROW(H45))</f>
        <v>45</v>
      </c>
      <c r="C48" s="4" t="s">
        <v>307</v>
      </c>
      <c r="D48" s="4" t="s">
        <v>313</v>
      </c>
      <c r="H48">
        <f>IF(Table2[[#This Row],[Kelurahan]]="","",ROW(M45))</f>
        <v>45</v>
      </c>
      <c r="I48" t="s">
        <v>138</v>
      </c>
      <c r="J48" t="s">
        <v>42</v>
      </c>
      <c r="K48" t="s">
        <v>152</v>
      </c>
      <c r="L48" t="s">
        <v>150</v>
      </c>
    </row>
    <row r="49" spans="2:12" x14ac:dyDescent="0.35">
      <c r="B49" s="4">
        <f>IF(Table5[[#This Row],[NAMA PROGRAM]]="","",ROW(H46))</f>
        <v>46</v>
      </c>
      <c r="C49" s="50" t="s">
        <v>256</v>
      </c>
      <c r="D49" s="4" t="s">
        <v>313</v>
      </c>
      <c r="H49">
        <f>IF(Table2[[#This Row],[Kelurahan]]="","",ROW(M46))</f>
        <v>46</v>
      </c>
      <c r="I49" t="s">
        <v>44</v>
      </c>
      <c r="J49" t="s">
        <v>42</v>
      </c>
      <c r="K49" t="s">
        <v>152</v>
      </c>
      <c r="L49" t="s">
        <v>150</v>
      </c>
    </row>
    <row r="50" spans="2:12" x14ac:dyDescent="0.35">
      <c r="B50" s="4">
        <f>IF(Table5[[#This Row],[NAMA PROGRAM]]="","",ROW(H47))</f>
        <v>47</v>
      </c>
      <c r="C50" s="4" t="s">
        <v>300</v>
      </c>
      <c r="D50" s="4" t="s">
        <v>313</v>
      </c>
      <c r="H50">
        <f>IF(Table2[[#This Row],[Kelurahan]]="","",ROW(M47))</f>
        <v>47</v>
      </c>
      <c r="I50" t="s">
        <v>45</v>
      </c>
      <c r="J50" t="s">
        <v>139</v>
      </c>
      <c r="K50" t="s">
        <v>152</v>
      </c>
      <c r="L50" t="s">
        <v>150</v>
      </c>
    </row>
    <row r="51" spans="2:12" x14ac:dyDescent="0.35">
      <c r="B51" s="4">
        <f>IF(Table5[[#This Row],[NAMA PROGRAM]]="","",ROW(H48))</f>
        <v>48</v>
      </c>
      <c r="C51" s="4" t="s">
        <v>329</v>
      </c>
      <c r="D51" s="4" t="s">
        <v>313</v>
      </c>
      <c r="H51">
        <f>IF(Table2[[#This Row],[Kelurahan]]="","",ROW(M48))</f>
        <v>48</v>
      </c>
      <c r="I51" t="s">
        <v>46</v>
      </c>
      <c r="J51" t="s">
        <v>139</v>
      </c>
      <c r="K51" t="s">
        <v>152</v>
      </c>
      <c r="L51" t="s">
        <v>150</v>
      </c>
    </row>
    <row r="52" spans="2:12" x14ac:dyDescent="0.35">
      <c r="B52" s="4">
        <f>IF(Table5[[#This Row],[NAMA PROGRAM]]="","",ROW(H49))</f>
        <v>49</v>
      </c>
      <c r="C52" s="4" t="s">
        <v>330</v>
      </c>
      <c r="D52" s="4" t="s">
        <v>313</v>
      </c>
      <c r="H52">
        <f>IF(Table2[[#This Row],[Kelurahan]]="","",ROW(M49))</f>
        <v>49</v>
      </c>
      <c r="I52" t="s">
        <v>47</v>
      </c>
      <c r="J52" t="s">
        <v>139</v>
      </c>
      <c r="K52" t="s">
        <v>152</v>
      </c>
      <c r="L52" t="s">
        <v>150</v>
      </c>
    </row>
    <row r="53" spans="2:12" x14ac:dyDescent="0.35">
      <c r="B53" s="4">
        <f>IF(Table5[[#This Row],[NAMA PROGRAM]]="","",ROW(H50))</f>
        <v>50</v>
      </c>
      <c r="C53" s="50" t="s">
        <v>255</v>
      </c>
      <c r="D53" s="4" t="s">
        <v>257</v>
      </c>
      <c r="H53">
        <f>IF(Table2[[#This Row],[Kelurahan]]="","",ROW(M50))</f>
        <v>50</v>
      </c>
      <c r="I53" t="s">
        <v>48</v>
      </c>
      <c r="J53" t="s">
        <v>139</v>
      </c>
      <c r="K53" t="s">
        <v>152</v>
      </c>
      <c r="L53" t="s">
        <v>150</v>
      </c>
    </row>
    <row r="54" spans="2:12" x14ac:dyDescent="0.35">
      <c r="B54" s="4">
        <f>IF(Table5[[#This Row],[NAMA PROGRAM]]="","",ROW(H51))</f>
        <v>51</v>
      </c>
      <c r="C54" s="4" t="s">
        <v>169</v>
      </c>
      <c r="D54" s="4" t="s">
        <v>257</v>
      </c>
      <c r="H54">
        <f>IF(Table2[[#This Row],[Kelurahan]]="","",ROW(M51))</f>
        <v>51</v>
      </c>
      <c r="I54" t="s">
        <v>49</v>
      </c>
      <c r="J54" t="s">
        <v>139</v>
      </c>
      <c r="K54" t="s">
        <v>152</v>
      </c>
      <c r="L54" t="s">
        <v>150</v>
      </c>
    </row>
    <row r="55" spans="2:12" x14ac:dyDescent="0.35">
      <c r="B55" s="4">
        <f>IF(Table5[[#This Row],[NAMA PROGRAM]]="","",ROW(H52))</f>
        <v>52</v>
      </c>
      <c r="C55" s="50" t="s">
        <v>254</v>
      </c>
      <c r="D55" s="4" t="s">
        <v>257</v>
      </c>
      <c r="H55">
        <f>IF(Table2[[#This Row],[Kelurahan]]="","",ROW(M52))</f>
        <v>52</v>
      </c>
      <c r="I55" t="s">
        <v>50</v>
      </c>
      <c r="J55" t="s">
        <v>139</v>
      </c>
      <c r="K55" t="s">
        <v>152</v>
      </c>
      <c r="L55" t="s">
        <v>150</v>
      </c>
    </row>
    <row r="56" spans="2:12" x14ac:dyDescent="0.35">
      <c r="B56" s="4">
        <f>IF(Table5[[#This Row],[NAMA PROGRAM]]="","",ROW(H53))</f>
        <v>53</v>
      </c>
      <c r="C56" s="4" t="s">
        <v>314</v>
      </c>
      <c r="D56" s="4" t="s">
        <v>257</v>
      </c>
      <c r="H56">
        <f>IF(Table2[[#This Row],[Kelurahan]]="","",ROW(M53))</f>
        <v>53</v>
      </c>
      <c r="I56" t="s">
        <v>51</v>
      </c>
      <c r="J56" t="s">
        <v>140</v>
      </c>
      <c r="K56" t="s">
        <v>152</v>
      </c>
      <c r="L56" t="s">
        <v>150</v>
      </c>
    </row>
    <row r="57" spans="2:12" x14ac:dyDescent="0.35">
      <c r="B57" s="4">
        <f>IF(Table5[[#This Row],[NAMA PROGRAM]]="","",ROW(H54))</f>
        <v>54</v>
      </c>
      <c r="C57" s="4" t="s">
        <v>316</v>
      </c>
      <c r="D57" s="4" t="s">
        <v>257</v>
      </c>
      <c r="H57">
        <f>IF(Table2[[#This Row],[Kelurahan]]="","",ROW(M54))</f>
        <v>54</v>
      </c>
      <c r="I57" t="s">
        <v>52</v>
      </c>
      <c r="J57" t="s">
        <v>140</v>
      </c>
      <c r="K57" t="s">
        <v>152</v>
      </c>
      <c r="L57" t="s">
        <v>150</v>
      </c>
    </row>
    <row r="58" spans="2:12" x14ac:dyDescent="0.35">
      <c r="B58" s="4">
        <f>IF(Table5[[#This Row],[NAMA PROGRAM]]="","",ROW(H55))</f>
        <v>55</v>
      </c>
      <c r="C58" s="4" t="s">
        <v>317</v>
      </c>
      <c r="D58" s="4" t="s">
        <v>257</v>
      </c>
      <c r="H58">
        <f>IF(Table2[[#This Row],[Kelurahan]]="","",ROW(M55))</f>
        <v>55</v>
      </c>
      <c r="I58" t="s">
        <v>53</v>
      </c>
      <c r="J58" t="s">
        <v>140</v>
      </c>
      <c r="K58" t="s">
        <v>152</v>
      </c>
      <c r="L58" t="s">
        <v>150</v>
      </c>
    </row>
    <row r="59" spans="2:12" x14ac:dyDescent="0.35">
      <c r="B59" s="4">
        <f>IF(Table5[[#This Row],[NAMA PROGRAM]]="","",ROW(H56))</f>
        <v>56</v>
      </c>
      <c r="C59" s="4" t="s">
        <v>359</v>
      </c>
      <c r="D59" s="4" t="s">
        <v>257</v>
      </c>
      <c r="H59">
        <f>IF(Table2[[#This Row],[Kelurahan]]="","",ROW(M56))</f>
        <v>56</v>
      </c>
      <c r="I59" t="s">
        <v>54</v>
      </c>
      <c r="J59" t="s">
        <v>140</v>
      </c>
      <c r="K59" t="s">
        <v>152</v>
      </c>
      <c r="L59" t="s">
        <v>150</v>
      </c>
    </row>
    <row r="60" spans="2:12" x14ac:dyDescent="0.35">
      <c r="B60" s="4">
        <f>IF(Table5[[#This Row],[NAMA PROGRAM]]="","",ROW(H57))</f>
        <v>57</v>
      </c>
      <c r="C60" s="4" t="s">
        <v>360</v>
      </c>
      <c r="D60" s="4" t="s">
        <v>257</v>
      </c>
      <c r="H60">
        <f>IF(Table2[[#This Row],[Kelurahan]]="","",ROW(M57))</f>
        <v>57</v>
      </c>
      <c r="I60" t="s">
        <v>55</v>
      </c>
      <c r="J60" t="s">
        <v>140</v>
      </c>
      <c r="K60" t="s">
        <v>152</v>
      </c>
      <c r="L60" t="s">
        <v>150</v>
      </c>
    </row>
    <row r="61" spans="2:12" x14ac:dyDescent="0.35">
      <c r="B61" s="4">
        <f>IF(Table5[[#This Row],[NAMA PROGRAM]]="","",ROW(H58))</f>
        <v>58</v>
      </c>
      <c r="C61" s="4" t="s">
        <v>364</v>
      </c>
      <c r="D61" s="4" t="s">
        <v>257</v>
      </c>
      <c r="H61">
        <f>IF(Table2[[#This Row],[Kelurahan]]="","",ROW(M58))</f>
        <v>58</v>
      </c>
      <c r="I61" t="s">
        <v>56</v>
      </c>
      <c r="J61" t="s">
        <v>140</v>
      </c>
      <c r="K61" t="s">
        <v>152</v>
      </c>
      <c r="L61" t="s">
        <v>150</v>
      </c>
    </row>
    <row r="62" spans="2:12" x14ac:dyDescent="0.35">
      <c r="B62" s="4">
        <f>IF(Table5[[#This Row],[NAMA PROGRAM]]="","",ROW(H59))</f>
        <v>59</v>
      </c>
      <c r="C62" s="4" t="s">
        <v>369</v>
      </c>
      <c r="D62" s="4" t="s">
        <v>257</v>
      </c>
      <c r="H62">
        <f>IF(Table2[[#This Row],[Kelurahan]]="","",ROW(M59))</f>
        <v>59</v>
      </c>
      <c r="I62" t="s">
        <v>57</v>
      </c>
      <c r="J62" t="s">
        <v>140</v>
      </c>
      <c r="K62" t="s">
        <v>152</v>
      </c>
      <c r="L62" t="s">
        <v>150</v>
      </c>
    </row>
    <row r="63" spans="2:12" x14ac:dyDescent="0.35">
      <c r="B63" s="4">
        <f>IF(Table5[[#This Row],[NAMA PROGRAM]]="","",ROW(H60))</f>
        <v>60</v>
      </c>
      <c r="C63" s="4" t="s">
        <v>374</v>
      </c>
      <c r="D63" s="4" t="s">
        <v>257</v>
      </c>
      <c r="H63">
        <f>IF(Table2[[#This Row],[Kelurahan]]="","",ROW(M60))</f>
        <v>60</v>
      </c>
      <c r="I63" t="s">
        <v>58</v>
      </c>
      <c r="J63" t="s">
        <v>141</v>
      </c>
      <c r="K63" t="s">
        <v>152</v>
      </c>
      <c r="L63" t="s">
        <v>150</v>
      </c>
    </row>
    <row r="64" spans="2:12" x14ac:dyDescent="0.35">
      <c r="B64" s="4">
        <f>IF(Table5[[#This Row],[NAMA PROGRAM]]="","",ROW(H61))</f>
        <v>61</v>
      </c>
      <c r="C64" s="4" t="s">
        <v>375</v>
      </c>
      <c r="D64" s="4" t="s">
        <v>257</v>
      </c>
      <c r="H64">
        <f>IF(Table2[[#This Row],[Kelurahan]]="","",ROW(M61))</f>
        <v>61</v>
      </c>
      <c r="I64" t="s">
        <v>59</v>
      </c>
      <c r="J64" t="s">
        <v>141</v>
      </c>
      <c r="K64" t="s">
        <v>152</v>
      </c>
      <c r="L64" t="s">
        <v>150</v>
      </c>
    </row>
    <row r="65" spans="2:12" x14ac:dyDescent="0.35">
      <c r="B65" s="4">
        <f>IF(Table5[[#This Row],[NAMA PROGRAM]]="","",ROW(H62))</f>
        <v>62</v>
      </c>
      <c r="C65" s="4" t="s">
        <v>385</v>
      </c>
      <c r="D65" s="4" t="s">
        <v>257</v>
      </c>
      <c r="H65">
        <f>IF(Table2[[#This Row],[Kelurahan]]="","",ROW(M62))</f>
        <v>62</v>
      </c>
      <c r="I65" t="s">
        <v>60</v>
      </c>
      <c r="J65" t="s">
        <v>141</v>
      </c>
      <c r="K65" t="s">
        <v>152</v>
      </c>
      <c r="L65" t="s">
        <v>150</v>
      </c>
    </row>
    <row r="66" spans="2:12" x14ac:dyDescent="0.35">
      <c r="B66" s="4">
        <f>IF(Table5[[#This Row],[NAMA PROGRAM]]="","",ROW(H63))</f>
        <v>63</v>
      </c>
      <c r="C66" s="4" t="s">
        <v>390</v>
      </c>
      <c r="D66" s="4" t="s">
        <v>257</v>
      </c>
      <c r="H66">
        <f>IF(Table2[[#This Row],[Kelurahan]]="","",ROW(M63))</f>
        <v>63</v>
      </c>
      <c r="I66" t="s">
        <v>61</v>
      </c>
      <c r="J66" t="s">
        <v>141</v>
      </c>
      <c r="K66" t="s">
        <v>152</v>
      </c>
      <c r="L66" t="s">
        <v>150</v>
      </c>
    </row>
    <row r="67" spans="2:12" x14ac:dyDescent="0.35">
      <c r="B67" s="4">
        <f>IF(Table5[[#This Row],[NAMA PROGRAM]]="","",ROW(H64))</f>
        <v>64</v>
      </c>
      <c r="C67" s="4" t="s">
        <v>393</v>
      </c>
      <c r="D67" s="4" t="s">
        <v>257</v>
      </c>
      <c r="H67">
        <f>IF(Table2[[#This Row],[Kelurahan]]="","",ROW(M64))</f>
        <v>64</v>
      </c>
      <c r="I67" t="s">
        <v>62</v>
      </c>
      <c r="J67" t="s">
        <v>141</v>
      </c>
      <c r="K67" t="s">
        <v>152</v>
      </c>
      <c r="L67" t="s">
        <v>150</v>
      </c>
    </row>
    <row r="68" spans="2:12" x14ac:dyDescent="0.35">
      <c r="B68" s="4">
        <f>IF(Table5[[#This Row],[NAMA PROGRAM]]="","",ROW(H65))</f>
        <v>65</v>
      </c>
      <c r="C68" s="4" t="s">
        <v>19</v>
      </c>
      <c r="D68" s="4" t="s">
        <v>10</v>
      </c>
      <c r="H68">
        <f>IF(Table2[[#This Row],[Kelurahan]]="","",ROW(M65))</f>
        <v>65</v>
      </c>
      <c r="I68" t="s">
        <v>63</v>
      </c>
      <c r="J68" t="s">
        <v>141</v>
      </c>
      <c r="K68" t="s">
        <v>152</v>
      </c>
      <c r="L68" t="s">
        <v>150</v>
      </c>
    </row>
    <row r="69" spans="2:12" x14ac:dyDescent="0.35">
      <c r="B69" s="4">
        <f>IF(Table5[[#This Row],[NAMA PROGRAM]]="","",ROW(H66))</f>
        <v>66</v>
      </c>
      <c r="C69" s="4" t="s">
        <v>464</v>
      </c>
      <c r="D69" s="4" t="s">
        <v>10</v>
      </c>
      <c r="H69">
        <f>IF(Table2[[#This Row],[Kelurahan]]="","",ROW(M66))</f>
        <v>66</v>
      </c>
      <c r="I69" t="s">
        <v>64</v>
      </c>
      <c r="J69" t="s">
        <v>141</v>
      </c>
      <c r="K69" t="s">
        <v>152</v>
      </c>
      <c r="L69" t="s">
        <v>150</v>
      </c>
    </row>
    <row r="70" spans="2:12" x14ac:dyDescent="0.35">
      <c r="B70" s="4">
        <f>IF(Table5[[#This Row],[NAMA PROGRAM]]="","",ROW(H67))</f>
        <v>67</v>
      </c>
      <c r="C70" s="4" t="s">
        <v>201</v>
      </c>
      <c r="D70" s="4" t="s">
        <v>10</v>
      </c>
      <c r="H70">
        <f>IF(Table2[[#This Row],[Kelurahan]]="","",ROW(M67))</f>
        <v>67</v>
      </c>
      <c r="I70" t="s">
        <v>65</v>
      </c>
      <c r="J70" t="s">
        <v>141</v>
      </c>
      <c r="K70" t="s">
        <v>152</v>
      </c>
      <c r="L70" t="s">
        <v>150</v>
      </c>
    </row>
    <row r="71" spans="2:12" x14ac:dyDescent="0.35">
      <c r="B71" s="4">
        <f>IF(Table5[[#This Row],[NAMA PROGRAM]]="","",ROW(H68))</f>
        <v>68</v>
      </c>
      <c r="C71" s="4" t="s">
        <v>230</v>
      </c>
      <c r="D71" s="4" t="s">
        <v>10</v>
      </c>
      <c r="H71">
        <f>IF(Table2[[#This Row],[Kelurahan]]="","",ROW(M68))</f>
        <v>68</v>
      </c>
      <c r="I71" t="s">
        <v>66</v>
      </c>
      <c r="J71" t="s">
        <v>141</v>
      </c>
      <c r="K71" t="s">
        <v>152</v>
      </c>
      <c r="L71" t="s">
        <v>150</v>
      </c>
    </row>
    <row r="72" spans="2:12" x14ac:dyDescent="0.35">
      <c r="B72" s="4">
        <f>IF(Table5[[#This Row],[NAMA PROGRAM]]="","",ROW(H69))</f>
        <v>69</v>
      </c>
      <c r="C72" s="4" t="s">
        <v>443</v>
      </c>
      <c r="D72" s="4" t="s">
        <v>13</v>
      </c>
      <c r="H72">
        <f>IF(Table2[[#This Row],[Kelurahan]]="","",ROW(M69))</f>
        <v>69</v>
      </c>
      <c r="I72" t="s">
        <v>67</v>
      </c>
      <c r="J72" t="s">
        <v>141</v>
      </c>
      <c r="K72" t="s">
        <v>152</v>
      </c>
      <c r="L72" t="s">
        <v>150</v>
      </c>
    </row>
    <row r="73" spans="2:12" x14ac:dyDescent="0.35">
      <c r="B73" s="4">
        <f>IF(Table5[[#This Row],[NAMA PROGRAM]]="","",ROW(H70))</f>
        <v>70</v>
      </c>
      <c r="C73" s="4" t="s">
        <v>444</v>
      </c>
      <c r="D73" s="4" t="s">
        <v>1</v>
      </c>
      <c r="H73">
        <f>IF(Table2[[#This Row],[Kelurahan]]="","",ROW(M70))</f>
        <v>70</v>
      </c>
      <c r="I73" t="s">
        <v>68</v>
      </c>
      <c r="J73" t="s">
        <v>141</v>
      </c>
      <c r="K73" t="s">
        <v>152</v>
      </c>
      <c r="L73" t="s">
        <v>150</v>
      </c>
    </row>
    <row r="74" spans="2:12" x14ac:dyDescent="0.35">
      <c r="B74" s="4">
        <f>IF(Table5[[#This Row],[NAMA PROGRAM]]="","",ROW(H71))</f>
        <v>71</v>
      </c>
      <c r="C74" s="4" t="s">
        <v>454</v>
      </c>
      <c r="D74" s="4" t="s">
        <v>1</v>
      </c>
      <c r="H74">
        <f>IF(Table2[[#This Row],[Kelurahan]]="","",ROW(M71))</f>
        <v>71</v>
      </c>
      <c r="I74" t="s">
        <v>69</v>
      </c>
      <c r="J74" t="s">
        <v>142</v>
      </c>
      <c r="K74" t="s">
        <v>152</v>
      </c>
      <c r="L74" t="s">
        <v>150</v>
      </c>
    </row>
    <row r="75" spans="2:12" x14ac:dyDescent="0.35">
      <c r="B75" s="4">
        <f>IF(Table5[[#This Row],[NAMA PROGRAM]]="","",ROW(H72))</f>
        <v>72</v>
      </c>
      <c r="C75" s="4" t="s">
        <v>459</v>
      </c>
      <c r="D75" s="4" t="s">
        <v>1</v>
      </c>
      <c r="H75">
        <f>IF(Table2[[#This Row],[Kelurahan]]="","",ROW(M72))</f>
        <v>72</v>
      </c>
      <c r="I75" t="s">
        <v>70</v>
      </c>
      <c r="J75" t="s">
        <v>142</v>
      </c>
      <c r="K75" t="s">
        <v>152</v>
      </c>
      <c r="L75" t="s">
        <v>150</v>
      </c>
    </row>
    <row r="76" spans="2:12" x14ac:dyDescent="0.35">
      <c r="B76" s="4">
        <f>IF(Table5[[#This Row],[NAMA PROGRAM]]="","",ROW(H73))</f>
        <v>73</v>
      </c>
      <c r="C76" s="4" t="s">
        <v>462</v>
      </c>
      <c r="D76" s="4" t="s">
        <v>1</v>
      </c>
      <c r="H76">
        <f>IF(Table2[[#This Row],[Kelurahan]]="","",ROW(M73))</f>
        <v>73</v>
      </c>
      <c r="I76" t="s">
        <v>71</v>
      </c>
      <c r="J76" t="s">
        <v>142</v>
      </c>
      <c r="K76" t="s">
        <v>152</v>
      </c>
      <c r="L76" t="s">
        <v>150</v>
      </c>
    </row>
    <row r="77" spans="2:12" x14ac:dyDescent="0.35">
      <c r="B77" s="4">
        <f>IF(Table5[[#This Row],[NAMA PROGRAM]]="","",ROW(H74))</f>
        <v>74</v>
      </c>
      <c r="C77" s="4" t="s">
        <v>532</v>
      </c>
      <c r="D77" s="4" t="s">
        <v>13</v>
      </c>
      <c r="H77">
        <f>IF(Table2[[#This Row],[Kelurahan]]="","",ROW(M74))</f>
        <v>74</v>
      </c>
      <c r="I77" t="s">
        <v>72</v>
      </c>
      <c r="J77" t="s">
        <v>142</v>
      </c>
      <c r="K77" t="s">
        <v>152</v>
      </c>
      <c r="L77" t="s">
        <v>150</v>
      </c>
    </row>
    <row r="78" spans="2:12" x14ac:dyDescent="0.35">
      <c r="B78" s="4">
        <f>IF(Table5[[#This Row],[NAMA PROGRAM]]="","",ROW(H75))</f>
        <v>75</v>
      </c>
      <c r="C78" s="4" t="s">
        <v>548</v>
      </c>
      <c r="D78" s="4" t="s">
        <v>13</v>
      </c>
      <c r="H78">
        <f>IF(Table2[[#This Row],[Kelurahan]]="","",ROW(M75))</f>
        <v>75</v>
      </c>
      <c r="I78" t="s">
        <v>73</v>
      </c>
      <c r="J78" t="s">
        <v>142</v>
      </c>
      <c r="K78" t="s">
        <v>152</v>
      </c>
      <c r="L78" t="s">
        <v>150</v>
      </c>
    </row>
    <row r="79" spans="2:12" x14ac:dyDescent="0.35">
      <c r="H79">
        <f>IF(Table2[[#This Row],[Kelurahan]]="","",ROW(M76))</f>
        <v>76</v>
      </c>
      <c r="I79" t="s">
        <v>74</v>
      </c>
      <c r="J79" t="s">
        <v>142</v>
      </c>
      <c r="K79" t="s">
        <v>152</v>
      </c>
      <c r="L79" t="s">
        <v>150</v>
      </c>
    </row>
    <row r="80" spans="2:12" x14ac:dyDescent="0.35">
      <c r="H80">
        <f>IF(Table2[[#This Row],[Kelurahan]]="","",ROW(M77))</f>
        <v>77</v>
      </c>
      <c r="I80" t="s">
        <v>77</v>
      </c>
      <c r="J80" t="s">
        <v>143</v>
      </c>
      <c r="K80" t="s">
        <v>152</v>
      </c>
      <c r="L80" t="s">
        <v>150</v>
      </c>
    </row>
    <row r="81" spans="8:12" x14ac:dyDescent="0.35">
      <c r="H81">
        <f>IF(Table2[[#This Row],[Kelurahan]]="","",ROW(M78))</f>
        <v>78</v>
      </c>
      <c r="I81" t="s">
        <v>78</v>
      </c>
      <c r="J81" t="s">
        <v>143</v>
      </c>
      <c r="K81" t="s">
        <v>152</v>
      </c>
      <c r="L81" t="s">
        <v>150</v>
      </c>
    </row>
    <row r="82" spans="8:12" x14ac:dyDescent="0.35">
      <c r="H82">
        <f>IF(Table2[[#This Row],[Kelurahan]]="","",ROW(M79))</f>
        <v>79</v>
      </c>
      <c r="I82" t="s">
        <v>75</v>
      </c>
      <c r="J82" t="s">
        <v>143</v>
      </c>
      <c r="K82" t="s">
        <v>152</v>
      </c>
      <c r="L82" t="s">
        <v>150</v>
      </c>
    </row>
    <row r="83" spans="8:12" x14ac:dyDescent="0.35">
      <c r="H83">
        <f>IF(Table2[[#This Row],[Kelurahan]]="","",ROW(M80))</f>
        <v>80</v>
      </c>
      <c r="I83" t="s">
        <v>76</v>
      </c>
      <c r="J83" t="s">
        <v>143</v>
      </c>
      <c r="K83" t="s">
        <v>152</v>
      </c>
      <c r="L83" t="s">
        <v>150</v>
      </c>
    </row>
    <row r="84" spans="8:12" x14ac:dyDescent="0.35">
      <c r="H84">
        <f>IF(Table2[[#This Row],[Kelurahan]]="","",ROW(M81))</f>
        <v>81</v>
      </c>
      <c r="I84" t="s">
        <v>79</v>
      </c>
      <c r="J84" t="s">
        <v>143</v>
      </c>
      <c r="K84" t="s">
        <v>152</v>
      </c>
      <c r="L84" t="s">
        <v>150</v>
      </c>
    </row>
    <row r="85" spans="8:12" x14ac:dyDescent="0.35">
      <c r="H85">
        <f>IF(Table2[[#This Row],[Kelurahan]]="","",ROW(M82))</f>
        <v>82</v>
      </c>
      <c r="I85" t="s">
        <v>80</v>
      </c>
      <c r="J85" t="s">
        <v>143</v>
      </c>
      <c r="K85" t="s">
        <v>152</v>
      </c>
      <c r="L85" t="s">
        <v>150</v>
      </c>
    </row>
    <row r="86" spans="8:12" x14ac:dyDescent="0.35">
      <c r="H86">
        <f>IF(Table2[[#This Row],[Kelurahan]]="","",ROW(M83))</f>
        <v>83</v>
      </c>
      <c r="I86" t="s">
        <v>83</v>
      </c>
      <c r="J86" t="s">
        <v>144</v>
      </c>
      <c r="K86" t="s">
        <v>152</v>
      </c>
      <c r="L86" t="s">
        <v>150</v>
      </c>
    </row>
    <row r="87" spans="8:12" x14ac:dyDescent="0.35">
      <c r="H87">
        <f>IF(Table2[[#This Row],[Kelurahan]]="","",ROW(M84))</f>
        <v>84</v>
      </c>
      <c r="I87" t="s">
        <v>81</v>
      </c>
      <c r="J87" t="s">
        <v>144</v>
      </c>
      <c r="K87" t="s">
        <v>152</v>
      </c>
      <c r="L87" t="s">
        <v>150</v>
      </c>
    </row>
    <row r="88" spans="8:12" x14ac:dyDescent="0.35">
      <c r="H88">
        <f>IF(Table2[[#This Row],[Kelurahan]]="","",ROW(M85))</f>
        <v>85</v>
      </c>
      <c r="I88" t="s">
        <v>82</v>
      </c>
      <c r="J88" t="s">
        <v>144</v>
      </c>
      <c r="K88" t="s">
        <v>152</v>
      </c>
      <c r="L88" t="s">
        <v>150</v>
      </c>
    </row>
    <row r="89" spans="8:12" x14ac:dyDescent="0.35">
      <c r="H89">
        <f>IF(Table2[[#This Row],[Kelurahan]]="","",ROW(M86))</f>
        <v>86</v>
      </c>
      <c r="I89" t="s">
        <v>84</v>
      </c>
      <c r="J89" t="s">
        <v>144</v>
      </c>
      <c r="K89" t="s">
        <v>152</v>
      </c>
      <c r="L89" t="s">
        <v>150</v>
      </c>
    </row>
    <row r="90" spans="8:12" x14ac:dyDescent="0.35">
      <c r="H90">
        <f>IF(Table2[[#This Row],[Kelurahan]]="","",ROW(M87))</f>
        <v>87</v>
      </c>
      <c r="I90" t="s">
        <v>85</v>
      </c>
      <c r="J90" t="s">
        <v>144</v>
      </c>
      <c r="K90" t="s">
        <v>152</v>
      </c>
      <c r="L90" t="s">
        <v>150</v>
      </c>
    </row>
    <row r="91" spans="8:12" x14ac:dyDescent="0.35">
      <c r="H91">
        <f>IF(Table2[[#This Row],[Kelurahan]]="","",ROW(M88))</f>
        <v>88</v>
      </c>
      <c r="I91" t="s">
        <v>86</v>
      </c>
      <c r="J91" t="s">
        <v>87</v>
      </c>
      <c r="K91" t="s">
        <v>152</v>
      </c>
      <c r="L91" t="s">
        <v>150</v>
      </c>
    </row>
    <row r="92" spans="8:12" x14ac:dyDescent="0.35">
      <c r="H92">
        <f>IF(Table2[[#This Row],[Kelurahan]]="","",ROW(M89))</f>
        <v>89</v>
      </c>
      <c r="I92" t="s">
        <v>87</v>
      </c>
      <c r="J92" t="s">
        <v>87</v>
      </c>
      <c r="K92" t="s">
        <v>152</v>
      </c>
      <c r="L92" t="s">
        <v>150</v>
      </c>
    </row>
    <row r="93" spans="8:12" x14ac:dyDescent="0.35">
      <c r="H93">
        <f>IF(Table2[[#This Row],[Kelurahan]]="","",ROW(M90))</f>
        <v>90</v>
      </c>
      <c r="I93" t="s">
        <v>88</v>
      </c>
      <c r="J93" t="s">
        <v>87</v>
      </c>
      <c r="K93" t="s">
        <v>152</v>
      </c>
      <c r="L93" t="s">
        <v>150</v>
      </c>
    </row>
    <row r="94" spans="8:12" x14ac:dyDescent="0.35">
      <c r="H94">
        <f>IF(Table2[[#This Row],[Kelurahan]]="","",ROW(M91))</f>
        <v>91</v>
      </c>
      <c r="I94" t="s">
        <v>89</v>
      </c>
      <c r="J94" t="s">
        <v>87</v>
      </c>
      <c r="K94" t="s">
        <v>152</v>
      </c>
      <c r="L94" t="s">
        <v>150</v>
      </c>
    </row>
    <row r="95" spans="8:12" x14ac:dyDescent="0.35">
      <c r="H95">
        <f>IF(Table2[[#This Row],[Kelurahan]]="","",ROW(M92))</f>
        <v>92</v>
      </c>
      <c r="I95" t="s">
        <v>90</v>
      </c>
      <c r="J95" t="s">
        <v>87</v>
      </c>
      <c r="K95" t="s">
        <v>152</v>
      </c>
      <c r="L95" t="s">
        <v>150</v>
      </c>
    </row>
    <row r="96" spans="8:12" x14ac:dyDescent="0.35">
      <c r="H96">
        <f>IF(Table2[[#This Row],[Kelurahan]]="","",ROW(M93))</f>
        <v>93</v>
      </c>
      <c r="I96" t="s">
        <v>224</v>
      </c>
      <c r="J96" t="s">
        <v>145</v>
      </c>
      <c r="K96" t="s">
        <v>152</v>
      </c>
      <c r="L96" t="s">
        <v>150</v>
      </c>
    </row>
    <row r="97" spans="8:12" x14ac:dyDescent="0.35">
      <c r="H97">
        <f>IF(Table2[[#This Row],[Kelurahan]]="","",ROW(M94))</f>
        <v>94</v>
      </c>
      <c r="I97" t="s">
        <v>91</v>
      </c>
      <c r="J97" t="s">
        <v>145</v>
      </c>
      <c r="K97" t="s">
        <v>152</v>
      </c>
      <c r="L97" t="s">
        <v>150</v>
      </c>
    </row>
    <row r="98" spans="8:12" x14ac:dyDescent="0.35">
      <c r="H98">
        <f>IF(Table2[[#This Row],[Kelurahan]]="","",ROW(M95))</f>
        <v>95</v>
      </c>
      <c r="I98" t="s">
        <v>92</v>
      </c>
      <c r="J98" t="s">
        <v>145</v>
      </c>
      <c r="K98" t="s">
        <v>152</v>
      </c>
      <c r="L98" t="s">
        <v>150</v>
      </c>
    </row>
    <row r="99" spans="8:12" x14ac:dyDescent="0.35">
      <c r="H99">
        <f>IF(Table2[[#This Row],[Kelurahan]]="","",ROW(M96))</f>
        <v>96</v>
      </c>
      <c r="I99" t="s">
        <v>93</v>
      </c>
      <c r="J99" t="s">
        <v>145</v>
      </c>
      <c r="K99" t="s">
        <v>152</v>
      </c>
      <c r="L99" t="s">
        <v>150</v>
      </c>
    </row>
    <row r="100" spans="8:12" x14ac:dyDescent="0.35">
      <c r="H100">
        <f>IF(Table2[[#This Row],[Kelurahan]]="","",ROW(M97))</f>
        <v>97</v>
      </c>
      <c r="I100" t="s">
        <v>94</v>
      </c>
      <c r="J100" t="s">
        <v>145</v>
      </c>
      <c r="K100" t="s">
        <v>152</v>
      </c>
      <c r="L100" t="s">
        <v>150</v>
      </c>
    </row>
    <row r="101" spans="8:12" x14ac:dyDescent="0.35">
      <c r="H101">
        <f>IF(Table2[[#This Row],[Kelurahan]]="","",ROW(M98))</f>
        <v>98</v>
      </c>
      <c r="I101" t="s">
        <v>95</v>
      </c>
      <c r="J101" t="s">
        <v>145</v>
      </c>
      <c r="K101" t="s">
        <v>152</v>
      </c>
      <c r="L101" t="s">
        <v>150</v>
      </c>
    </row>
    <row r="102" spans="8:12" x14ac:dyDescent="0.35">
      <c r="H102">
        <f>IF(Table2[[#This Row],[Kelurahan]]="","",ROW(M99))</f>
        <v>99</v>
      </c>
      <c r="I102" t="s">
        <v>96</v>
      </c>
      <c r="J102" t="s">
        <v>100</v>
      </c>
      <c r="K102" t="s">
        <v>152</v>
      </c>
      <c r="L102" t="s">
        <v>150</v>
      </c>
    </row>
    <row r="103" spans="8:12" x14ac:dyDescent="0.35">
      <c r="H103">
        <f>IF(Table2[[#This Row],[Kelurahan]]="","",ROW(M100))</f>
        <v>100</v>
      </c>
      <c r="I103" t="s">
        <v>97</v>
      </c>
      <c r="J103" t="s">
        <v>100</v>
      </c>
      <c r="K103" t="s">
        <v>152</v>
      </c>
      <c r="L103" t="s">
        <v>150</v>
      </c>
    </row>
    <row r="104" spans="8:12" x14ac:dyDescent="0.35">
      <c r="H104">
        <f>IF(Table2[[#This Row],[Kelurahan]]="","",ROW(M101))</f>
        <v>101</v>
      </c>
      <c r="I104" t="s">
        <v>98</v>
      </c>
      <c r="J104" t="s">
        <v>100</v>
      </c>
      <c r="K104" t="s">
        <v>152</v>
      </c>
      <c r="L104" t="s">
        <v>150</v>
      </c>
    </row>
    <row r="105" spans="8:12" x14ac:dyDescent="0.35">
      <c r="H105">
        <f>IF(Table2[[#This Row],[Kelurahan]]="","",ROW(M102))</f>
        <v>102</v>
      </c>
      <c r="I105" t="s">
        <v>99</v>
      </c>
      <c r="J105" t="s">
        <v>100</v>
      </c>
      <c r="K105" t="s">
        <v>152</v>
      </c>
      <c r="L105" t="s">
        <v>150</v>
      </c>
    </row>
    <row r="106" spans="8:12" x14ac:dyDescent="0.35">
      <c r="H106">
        <f>IF(Table2[[#This Row],[Kelurahan]]="","",ROW(M103))</f>
        <v>103</v>
      </c>
      <c r="I106" t="s">
        <v>100</v>
      </c>
      <c r="J106" t="s">
        <v>100</v>
      </c>
      <c r="K106" t="s">
        <v>152</v>
      </c>
      <c r="L106" t="s">
        <v>150</v>
      </c>
    </row>
    <row r="107" spans="8:12" x14ac:dyDescent="0.35">
      <c r="H107">
        <f>IF(Table2[[#This Row],[Kelurahan]]="","",ROW(M104))</f>
        <v>104</v>
      </c>
      <c r="I107" t="s">
        <v>101</v>
      </c>
      <c r="J107" t="s">
        <v>100</v>
      </c>
      <c r="K107" t="s">
        <v>152</v>
      </c>
      <c r="L107" t="s">
        <v>150</v>
      </c>
    </row>
    <row r="108" spans="8:12" x14ac:dyDescent="0.35">
      <c r="H108">
        <f>IF(Table2[[#This Row],[Kelurahan]]="","",ROW(M105))</f>
        <v>105</v>
      </c>
      <c r="I108" t="s">
        <v>102</v>
      </c>
      <c r="J108" t="s">
        <v>146</v>
      </c>
      <c r="K108" t="s">
        <v>152</v>
      </c>
      <c r="L108" t="s">
        <v>150</v>
      </c>
    </row>
    <row r="109" spans="8:12" x14ac:dyDescent="0.35">
      <c r="H109">
        <f>IF(Table2[[#This Row],[Kelurahan]]="","",ROW(M106))</f>
        <v>106</v>
      </c>
      <c r="I109" t="s">
        <v>103</v>
      </c>
      <c r="J109" t="s">
        <v>146</v>
      </c>
      <c r="K109" t="s">
        <v>152</v>
      </c>
      <c r="L109" t="s">
        <v>150</v>
      </c>
    </row>
    <row r="110" spans="8:12" x14ac:dyDescent="0.35">
      <c r="H110">
        <f>IF(Table2[[#This Row],[Kelurahan]]="","",ROW(M107))</f>
        <v>107</v>
      </c>
      <c r="I110" t="s">
        <v>104</v>
      </c>
      <c r="J110" t="s">
        <v>146</v>
      </c>
      <c r="K110" t="s">
        <v>152</v>
      </c>
      <c r="L110" t="s">
        <v>150</v>
      </c>
    </row>
    <row r="111" spans="8:12" x14ac:dyDescent="0.35">
      <c r="H111">
        <f>IF(Table2[[#This Row],[Kelurahan]]="","",ROW(M108))</f>
        <v>108</v>
      </c>
      <c r="I111" t="s">
        <v>105</v>
      </c>
      <c r="J111" t="s">
        <v>146</v>
      </c>
      <c r="K111" t="s">
        <v>152</v>
      </c>
      <c r="L111" t="s">
        <v>150</v>
      </c>
    </row>
    <row r="112" spans="8:12" x14ac:dyDescent="0.35">
      <c r="H112">
        <f>IF(Table2[[#This Row],[Kelurahan]]="","",ROW(M109))</f>
        <v>109</v>
      </c>
      <c r="I112" t="s">
        <v>106</v>
      </c>
      <c r="J112" t="s">
        <v>146</v>
      </c>
      <c r="K112" t="s">
        <v>152</v>
      </c>
      <c r="L112" t="s">
        <v>150</v>
      </c>
    </row>
    <row r="113" spans="8:12" x14ac:dyDescent="0.35">
      <c r="H113">
        <f>IF(Table2[[#This Row],[Kelurahan]]="","",ROW(M110))</f>
        <v>110</v>
      </c>
      <c r="I113" t="s">
        <v>107</v>
      </c>
      <c r="J113" t="s">
        <v>146</v>
      </c>
      <c r="K113" t="s">
        <v>152</v>
      </c>
      <c r="L113" t="s">
        <v>150</v>
      </c>
    </row>
    <row r="114" spans="8:12" x14ac:dyDescent="0.35">
      <c r="H114">
        <f>IF(Table2[[#This Row],[Kelurahan]]="","",ROW(M111))</f>
        <v>111</v>
      </c>
      <c r="I114" t="s">
        <v>108</v>
      </c>
      <c r="J114" t="s">
        <v>146</v>
      </c>
      <c r="K114" t="s">
        <v>152</v>
      </c>
      <c r="L114" t="s">
        <v>150</v>
      </c>
    </row>
    <row r="115" spans="8:12" x14ac:dyDescent="0.35">
      <c r="H115">
        <f>IF(Table2[[#This Row],[Kelurahan]]="","",ROW(M112))</f>
        <v>112</v>
      </c>
      <c r="I115" t="s">
        <v>109</v>
      </c>
      <c r="J115" t="s">
        <v>109</v>
      </c>
      <c r="K115" t="s">
        <v>152</v>
      </c>
      <c r="L115" t="s">
        <v>150</v>
      </c>
    </row>
    <row r="116" spans="8:12" x14ac:dyDescent="0.35">
      <c r="H116">
        <f>IF(Table2[[#This Row],[Kelurahan]]="","",ROW(M113))</f>
        <v>113</v>
      </c>
      <c r="I116" t="s">
        <v>110</v>
      </c>
      <c r="J116" t="s">
        <v>109</v>
      </c>
      <c r="K116" t="s">
        <v>152</v>
      </c>
      <c r="L116" t="s">
        <v>150</v>
      </c>
    </row>
    <row r="117" spans="8:12" x14ac:dyDescent="0.35">
      <c r="H117">
        <f>IF(Table2[[#This Row],[Kelurahan]]="","",ROW(M114))</f>
        <v>114</v>
      </c>
      <c r="I117" t="s">
        <v>111</v>
      </c>
      <c r="J117" t="s">
        <v>109</v>
      </c>
      <c r="K117" t="s">
        <v>152</v>
      </c>
      <c r="L117" t="s">
        <v>150</v>
      </c>
    </row>
    <row r="118" spans="8:12" x14ac:dyDescent="0.35">
      <c r="H118">
        <f>IF(Table2[[#This Row],[Kelurahan]]="","",ROW(M115))</f>
        <v>115</v>
      </c>
      <c r="I118" t="s">
        <v>112</v>
      </c>
      <c r="J118" t="s">
        <v>109</v>
      </c>
      <c r="K118" t="s">
        <v>152</v>
      </c>
      <c r="L118" t="s">
        <v>150</v>
      </c>
    </row>
    <row r="119" spans="8:12" x14ac:dyDescent="0.35">
      <c r="H119">
        <f>IF(Table2[[#This Row],[Kelurahan]]="","",ROW(M116))</f>
        <v>116</v>
      </c>
      <c r="I119" t="s">
        <v>113</v>
      </c>
      <c r="J119" t="s">
        <v>147</v>
      </c>
      <c r="K119" t="s">
        <v>152</v>
      </c>
      <c r="L119" t="s">
        <v>150</v>
      </c>
    </row>
    <row r="120" spans="8:12" x14ac:dyDescent="0.35">
      <c r="H120">
        <f>IF(Table2[[#This Row],[Kelurahan]]="","",ROW(M117))</f>
        <v>117</v>
      </c>
      <c r="I120" t="s">
        <v>114</v>
      </c>
      <c r="J120" t="s">
        <v>147</v>
      </c>
      <c r="K120" t="s">
        <v>152</v>
      </c>
      <c r="L120" t="s">
        <v>150</v>
      </c>
    </row>
    <row r="121" spans="8:12" x14ac:dyDescent="0.35">
      <c r="H121">
        <f>IF(Table2[[#This Row],[Kelurahan]]="","",ROW(M118))</f>
        <v>118</v>
      </c>
      <c r="I121" t="s">
        <v>115</v>
      </c>
      <c r="J121" t="s">
        <v>147</v>
      </c>
      <c r="K121" t="s">
        <v>152</v>
      </c>
      <c r="L121" t="s">
        <v>150</v>
      </c>
    </row>
    <row r="122" spans="8:12" x14ac:dyDescent="0.35">
      <c r="H122">
        <f>IF(Table2[[#This Row],[Kelurahan]]="","",ROW(M119))</f>
        <v>119</v>
      </c>
      <c r="I122" t="s">
        <v>116</v>
      </c>
      <c r="J122" t="s">
        <v>147</v>
      </c>
      <c r="K122" t="s">
        <v>152</v>
      </c>
      <c r="L122" t="s">
        <v>150</v>
      </c>
    </row>
    <row r="123" spans="8:12" x14ac:dyDescent="0.35">
      <c r="H123">
        <f>IF(Table2[[#This Row],[Kelurahan]]="","",ROW(M120))</f>
        <v>120</v>
      </c>
      <c r="I123" t="s">
        <v>117</v>
      </c>
      <c r="J123" t="s">
        <v>147</v>
      </c>
      <c r="K123" t="s">
        <v>152</v>
      </c>
      <c r="L123" t="s">
        <v>150</v>
      </c>
    </row>
    <row r="124" spans="8:12" x14ac:dyDescent="0.35">
      <c r="H124">
        <f>IF(Table2[[#This Row],[Kelurahan]]="","",ROW(M121))</f>
        <v>121</v>
      </c>
      <c r="I124" t="s">
        <v>118</v>
      </c>
      <c r="J124" t="s">
        <v>148</v>
      </c>
      <c r="K124" t="s">
        <v>152</v>
      </c>
      <c r="L124" t="s">
        <v>150</v>
      </c>
    </row>
    <row r="125" spans="8:12" x14ac:dyDescent="0.35">
      <c r="H125">
        <f>IF(Table2[[#This Row],[Kelurahan]]="","",ROW(M122))</f>
        <v>122</v>
      </c>
      <c r="I125" t="s">
        <v>119</v>
      </c>
      <c r="J125" t="s">
        <v>148</v>
      </c>
      <c r="K125" t="s">
        <v>152</v>
      </c>
      <c r="L125" t="s">
        <v>150</v>
      </c>
    </row>
    <row r="126" spans="8:12" x14ac:dyDescent="0.35">
      <c r="H126">
        <f>IF(Table2[[#This Row],[Kelurahan]]="","",ROW(M123))</f>
        <v>123</v>
      </c>
      <c r="I126" t="s">
        <v>120</v>
      </c>
      <c r="J126" t="s">
        <v>148</v>
      </c>
      <c r="K126" t="s">
        <v>152</v>
      </c>
      <c r="L126" t="s">
        <v>150</v>
      </c>
    </row>
    <row r="127" spans="8:12" x14ac:dyDescent="0.35">
      <c r="H127">
        <f>IF(Table2[[#This Row],[Kelurahan]]="","",ROW(M124))</f>
        <v>124</v>
      </c>
      <c r="I127" t="s">
        <v>121</v>
      </c>
      <c r="J127" t="s">
        <v>148</v>
      </c>
      <c r="K127" t="s">
        <v>152</v>
      </c>
      <c r="L127" t="s">
        <v>150</v>
      </c>
    </row>
    <row r="128" spans="8:12" x14ac:dyDescent="0.35">
      <c r="H128">
        <f>IF(Table2[[#This Row],[Kelurahan]]="","",ROW(M125))</f>
        <v>125</v>
      </c>
      <c r="I128" t="s">
        <v>122</v>
      </c>
      <c r="J128" t="s">
        <v>148</v>
      </c>
      <c r="K128" t="s">
        <v>152</v>
      </c>
      <c r="L128" t="s">
        <v>150</v>
      </c>
    </row>
    <row r="129" spans="8:12" x14ac:dyDescent="0.35">
      <c r="H129">
        <f>IF(Table2[[#This Row],[Kelurahan]]="","",ROW(M126))</f>
        <v>126</v>
      </c>
      <c r="I129" t="s">
        <v>123</v>
      </c>
      <c r="J129" t="s">
        <v>148</v>
      </c>
      <c r="K129" t="s">
        <v>152</v>
      </c>
      <c r="L129" t="s">
        <v>150</v>
      </c>
    </row>
    <row r="130" spans="8:12" x14ac:dyDescent="0.35">
      <c r="H130">
        <f>IF(Table2[[#This Row],[Kelurahan]]="","",ROW(M127))</f>
        <v>127</v>
      </c>
      <c r="I130" t="s">
        <v>124</v>
      </c>
      <c r="J130" t="s">
        <v>148</v>
      </c>
      <c r="K130" t="s">
        <v>152</v>
      </c>
      <c r="L130" t="s">
        <v>150</v>
      </c>
    </row>
    <row r="131" spans="8:12" x14ac:dyDescent="0.35">
      <c r="H131">
        <f>IF(Table2[[#This Row],[Kelurahan]]="","",ROW(M128))</f>
        <v>128</v>
      </c>
      <c r="I131" t="s">
        <v>125</v>
      </c>
      <c r="J131" t="s">
        <v>149</v>
      </c>
      <c r="K131" t="s">
        <v>152</v>
      </c>
      <c r="L131" t="s">
        <v>150</v>
      </c>
    </row>
    <row r="132" spans="8:12" x14ac:dyDescent="0.35">
      <c r="H132">
        <f>IF(Table2[[#This Row],[Kelurahan]]="","",ROW(M129))</f>
        <v>129</v>
      </c>
      <c r="I132" t="s">
        <v>126</v>
      </c>
      <c r="J132" t="s">
        <v>149</v>
      </c>
      <c r="K132" t="s">
        <v>152</v>
      </c>
      <c r="L132" t="s">
        <v>150</v>
      </c>
    </row>
    <row r="133" spans="8:12" x14ac:dyDescent="0.35">
      <c r="H133">
        <f>IF(Table2[[#This Row],[Kelurahan]]="","",ROW(M130))</f>
        <v>130</v>
      </c>
      <c r="I133" t="s">
        <v>127</v>
      </c>
      <c r="J133" t="s">
        <v>149</v>
      </c>
      <c r="K133" t="s">
        <v>152</v>
      </c>
      <c r="L133" t="s">
        <v>150</v>
      </c>
    </row>
    <row r="134" spans="8:12" x14ac:dyDescent="0.35">
      <c r="H134">
        <f>IF(Table2[[#This Row],[Kelurahan]]="","",ROW(M131))</f>
        <v>131</v>
      </c>
      <c r="I134" t="s">
        <v>128</v>
      </c>
      <c r="J134" t="s">
        <v>149</v>
      </c>
      <c r="K134" t="s">
        <v>152</v>
      </c>
      <c r="L134" t="s">
        <v>150</v>
      </c>
    </row>
    <row r="135" spans="8:12" x14ac:dyDescent="0.35">
      <c r="H135">
        <f>IF(Table2[[#This Row],[Kelurahan]]="","",ROW(M132))</f>
        <v>132</v>
      </c>
      <c r="I135" t="s">
        <v>129</v>
      </c>
      <c r="J135" t="s">
        <v>132</v>
      </c>
      <c r="K135" t="s">
        <v>152</v>
      </c>
      <c r="L135" t="s">
        <v>150</v>
      </c>
    </row>
    <row r="136" spans="8:12" x14ac:dyDescent="0.35">
      <c r="H136">
        <f>IF(Table2[[#This Row],[Kelurahan]]="","",ROW(M133))</f>
        <v>133</v>
      </c>
      <c r="I136" t="s">
        <v>130</v>
      </c>
      <c r="J136" t="s">
        <v>132</v>
      </c>
      <c r="K136" t="s">
        <v>152</v>
      </c>
      <c r="L136" t="s">
        <v>150</v>
      </c>
    </row>
    <row r="137" spans="8:12" x14ac:dyDescent="0.35">
      <c r="H137">
        <f>IF(Table2[[#This Row],[Kelurahan]]="","",ROW(M134))</f>
        <v>134</v>
      </c>
      <c r="I137" t="s">
        <v>131</v>
      </c>
      <c r="J137" t="s">
        <v>132</v>
      </c>
      <c r="K137" t="s">
        <v>152</v>
      </c>
      <c r="L137" t="s">
        <v>150</v>
      </c>
    </row>
    <row r="138" spans="8:12" x14ac:dyDescent="0.35">
      <c r="H138">
        <f>IF(Table2[[#This Row],[Kelurahan]]="","",ROW(M135))</f>
        <v>135</v>
      </c>
      <c r="I138" t="s">
        <v>132</v>
      </c>
      <c r="J138" t="s">
        <v>132</v>
      </c>
      <c r="K138" t="s">
        <v>152</v>
      </c>
      <c r="L138" t="s">
        <v>150</v>
      </c>
    </row>
    <row r="139" spans="8:12" x14ac:dyDescent="0.35">
      <c r="H139">
        <f>IF(Table2[[#This Row],[Kelurahan]]="","",ROW(M136))</f>
        <v>136</v>
      </c>
      <c r="I139" t="s">
        <v>133</v>
      </c>
      <c r="J139" t="s">
        <v>132</v>
      </c>
      <c r="K139" t="s">
        <v>152</v>
      </c>
      <c r="L139" t="s">
        <v>150</v>
      </c>
    </row>
    <row r="140" spans="8:12" x14ac:dyDescent="0.35">
      <c r="H140">
        <f>IF(Table2[[#This Row],[Kelurahan]]="","",ROW(M137))</f>
        <v>137</v>
      </c>
      <c r="I140" t="s">
        <v>134</v>
      </c>
      <c r="J140" t="s">
        <v>132</v>
      </c>
      <c r="K140" t="s">
        <v>152</v>
      </c>
      <c r="L140" t="s">
        <v>150</v>
      </c>
    </row>
    <row r="141" spans="8:12" x14ac:dyDescent="0.35">
      <c r="H141">
        <f>IF(Table2[[#This Row],[Kelurahan]]="","",ROW(M138))</f>
        <v>138</v>
      </c>
      <c r="I141" t="s">
        <v>135</v>
      </c>
      <c r="J141" t="s">
        <v>132</v>
      </c>
      <c r="K141" t="s">
        <v>152</v>
      </c>
      <c r="L141" t="s">
        <v>150</v>
      </c>
    </row>
    <row r="142" spans="8:12" x14ac:dyDescent="0.35">
      <c r="H142">
        <f>IF(Table2[[#This Row],[Kelurahan]]="","",ROW(M139))</f>
        <v>139</v>
      </c>
      <c r="I142" t="s">
        <v>278</v>
      </c>
      <c r="J142" t="s">
        <v>279</v>
      </c>
      <c r="K142" t="s">
        <v>280</v>
      </c>
      <c r="L142" t="s">
        <v>267</v>
      </c>
    </row>
    <row r="143" spans="8:12" x14ac:dyDescent="0.35">
      <c r="H143">
        <f>IF(Table2[[#This Row],[Kelurahan]]="","",ROW(M140))</f>
        <v>140</v>
      </c>
      <c r="I143" t="s">
        <v>311</v>
      </c>
      <c r="J143" t="s">
        <v>310</v>
      </c>
      <c r="K143" t="s">
        <v>157</v>
      </c>
      <c r="L143" t="s">
        <v>150</v>
      </c>
    </row>
    <row r="144" spans="8:12" x14ac:dyDescent="0.35">
      <c r="H144">
        <f>IF(Table2[[#This Row],[Kelurahan]]="","",ROW(M141))</f>
        <v>141</v>
      </c>
      <c r="I144" t="s">
        <v>315</v>
      </c>
      <c r="J144" t="s">
        <v>282</v>
      </c>
      <c r="K144" t="s">
        <v>283</v>
      </c>
      <c r="L144" t="s">
        <v>284</v>
      </c>
    </row>
    <row r="145" spans="8:12" x14ac:dyDescent="0.35">
      <c r="H145">
        <f>IF(Table2[[#This Row],[Kelurahan]]="","",ROW(M142))</f>
        <v>142</v>
      </c>
      <c r="I145" t="s">
        <v>318</v>
      </c>
      <c r="J145" t="s">
        <v>282</v>
      </c>
      <c r="K145" t="s">
        <v>283</v>
      </c>
      <c r="L145" t="s">
        <v>284</v>
      </c>
    </row>
    <row r="146" spans="8:12" x14ac:dyDescent="0.35">
      <c r="H146">
        <f>IF(Table2[[#This Row],[Kelurahan]]="","",ROW(M143))</f>
        <v>143</v>
      </c>
      <c r="I146" t="s">
        <v>320</v>
      </c>
      <c r="J146" t="s">
        <v>282</v>
      </c>
      <c r="K146" t="s">
        <v>283</v>
      </c>
      <c r="L146" t="s">
        <v>284</v>
      </c>
    </row>
    <row r="147" spans="8:12" x14ac:dyDescent="0.35">
      <c r="H147">
        <f>IF(Table2[[#This Row],[Kelurahan]]="","",ROW(M144))</f>
        <v>144</v>
      </c>
      <c r="I147" t="s">
        <v>322</v>
      </c>
      <c r="J147" t="s">
        <v>291</v>
      </c>
      <c r="K147" t="s">
        <v>283</v>
      </c>
      <c r="L147" t="s">
        <v>284</v>
      </c>
    </row>
    <row r="148" spans="8:12" x14ac:dyDescent="0.35">
      <c r="H148">
        <f>IF(Table2[[#This Row],[Kelurahan]]="","",ROW(M145))</f>
        <v>145</v>
      </c>
      <c r="I148" t="s">
        <v>323</v>
      </c>
      <c r="J148" t="s">
        <v>282</v>
      </c>
      <c r="K148" t="s">
        <v>283</v>
      </c>
      <c r="L148" t="s">
        <v>284</v>
      </c>
    </row>
    <row r="149" spans="8:12" x14ac:dyDescent="0.35">
      <c r="H149">
        <f>IF(Table2[[#This Row],[Kelurahan]]="","",ROW(M146))</f>
        <v>146</v>
      </c>
      <c r="I149" t="s">
        <v>324</v>
      </c>
      <c r="J149" t="s">
        <v>291</v>
      </c>
      <c r="K149" t="s">
        <v>283</v>
      </c>
      <c r="L149" t="s">
        <v>284</v>
      </c>
    </row>
    <row r="150" spans="8:12" x14ac:dyDescent="0.35">
      <c r="H150">
        <f>IF(Table2[[#This Row],[Kelurahan]]="","",ROW(M147))</f>
        <v>147</v>
      </c>
      <c r="I150" t="s">
        <v>325</v>
      </c>
      <c r="J150" t="s">
        <v>302</v>
      </c>
      <c r="K150" t="s">
        <v>283</v>
      </c>
      <c r="L150" t="s">
        <v>284</v>
      </c>
    </row>
    <row r="151" spans="8:12" x14ac:dyDescent="0.35">
      <c r="H151">
        <f>IF(Table2[[#This Row],[Kelurahan]]="","",ROW(M148))</f>
        <v>148</v>
      </c>
      <c r="I151" t="s">
        <v>326</v>
      </c>
      <c r="J151" t="s">
        <v>327</v>
      </c>
      <c r="K151" t="s">
        <v>283</v>
      </c>
      <c r="L151" t="s">
        <v>284</v>
      </c>
    </row>
    <row r="152" spans="8:12" x14ac:dyDescent="0.35">
      <c r="H152">
        <f>IF(Table2[[#This Row],[Kelurahan]]="","",ROW(M149))</f>
        <v>149</v>
      </c>
      <c r="I152" t="s">
        <v>328</v>
      </c>
      <c r="J152" t="s">
        <v>282</v>
      </c>
      <c r="K152" t="s">
        <v>283</v>
      </c>
      <c r="L152" t="s">
        <v>284</v>
      </c>
    </row>
    <row r="153" spans="8:12" x14ac:dyDescent="0.35">
      <c r="H153">
        <f>IF(Table2[[#This Row],[Kelurahan]]="","",ROW(M150))</f>
        <v>150</v>
      </c>
      <c r="I153" t="s">
        <v>361</v>
      </c>
      <c r="J153" t="s">
        <v>362</v>
      </c>
      <c r="K153" t="s">
        <v>283</v>
      </c>
      <c r="L153" t="s">
        <v>284</v>
      </c>
    </row>
    <row r="154" spans="8:12" x14ac:dyDescent="0.35">
      <c r="H154">
        <f>IF(Table2[[#This Row],[Kelurahan]]="","",ROW(M151))</f>
        <v>151</v>
      </c>
      <c r="I154" t="s">
        <v>363</v>
      </c>
      <c r="J154" t="s">
        <v>291</v>
      </c>
      <c r="K154" t="s">
        <v>283</v>
      </c>
      <c r="L154" t="s">
        <v>284</v>
      </c>
    </row>
    <row r="155" spans="8:12" x14ac:dyDescent="0.35">
      <c r="H155">
        <f>IF(Table2[[#This Row],[Kelurahan]]="","",ROW(M152))</f>
        <v>152</v>
      </c>
      <c r="I155" t="s">
        <v>365</v>
      </c>
      <c r="J155" t="s">
        <v>366</v>
      </c>
      <c r="K155" t="s">
        <v>283</v>
      </c>
      <c r="L155" t="s">
        <v>284</v>
      </c>
    </row>
    <row r="156" spans="8:12" x14ac:dyDescent="0.35">
      <c r="H156">
        <f>IF(Table2[[#This Row],[Kelurahan]]="","",ROW(M153))</f>
        <v>153</v>
      </c>
      <c r="I156" t="s">
        <v>367</v>
      </c>
      <c r="J156" t="s">
        <v>291</v>
      </c>
      <c r="K156" t="s">
        <v>283</v>
      </c>
      <c r="L156" t="s">
        <v>284</v>
      </c>
    </row>
    <row r="157" spans="8:12" x14ac:dyDescent="0.35">
      <c r="H157">
        <f>IF(Table2[[#This Row],[Kelurahan]]="","",ROW(M154))</f>
        <v>154</v>
      </c>
      <c r="I157" t="s">
        <v>368</v>
      </c>
      <c r="J157" t="s">
        <v>305</v>
      </c>
      <c r="K157" t="s">
        <v>283</v>
      </c>
      <c r="L157" t="s">
        <v>284</v>
      </c>
    </row>
    <row r="158" spans="8:12" x14ac:dyDescent="0.35">
      <c r="H158">
        <f>IF(Table2[[#This Row],[Kelurahan]]="","",ROW(M155))</f>
        <v>155</v>
      </c>
      <c r="I158" t="s">
        <v>370</v>
      </c>
      <c r="J158" t="s">
        <v>371</v>
      </c>
      <c r="K158" t="s">
        <v>372</v>
      </c>
      <c r="L158" t="s">
        <v>284</v>
      </c>
    </row>
    <row r="159" spans="8:12" x14ac:dyDescent="0.35">
      <c r="H159">
        <f>IF(Table2[[#This Row],[Kelurahan]]="","",ROW(M156))</f>
        <v>156</v>
      </c>
      <c r="I159" t="s">
        <v>373</v>
      </c>
      <c r="J159" t="s">
        <v>371</v>
      </c>
      <c r="K159" t="s">
        <v>372</v>
      </c>
      <c r="L159" t="s">
        <v>284</v>
      </c>
    </row>
    <row r="160" spans="8:12" x14ac:dyDescent="0.35">
      <c r="H160">
        <f>IF(Table2[[#This Row],[Kelurahan]]="","",ROW(M157))</f>
        <v>157</v>
      </c>
      <c r="I160" t="s">
        <v>376</v>
      </c>
      <c r="J160" t="s">
        <v>362</v>
      </c>
      <c r="K160" t="s">
        <v>283</v>
      </c>
      <c r="L160" t="s">
        <v>284</v>
      </c>
    </row>
    <row r="161" spans="8:12" x14ac:dyDescent="0.35">
      <c r="H161">
        <f>IF(Table2[[#This Row],[Kelurahan]]="","",ROW(M158))</f>
        <v>158</v>
      </c>
      <c r="I161" t="s">
        <v>379</v>
      </c>
      <c r="J161" t="s">
        <v>380</v>
      </c>
      <c r="K161" t="s">
        <v>283</v>
      </c>
      <c r="L161" t="s">
        <v>284</v>
      </c>
    </row>
    <row r="162" spans="8:12" x14ac:dyDescent="0.35">
      <c r="H162">
        <f>IF(Table2[[#This Row],[Kelurahan]]="","",ROW(M159))</f>
        <v>159</v>
      </c>
      <c r="I162" t="s">
        <v>381</v>
      </c>
      <c r="J162" t="s">
        <v>291</v>
      </c>
      <c r="K162" t="s">
        <v>283</v>
      </c>
      <c r="L162" t="s">
        <v>284</v>
      </c>
    </row>
    <row r="163" spans="8:12" x14ac:dyDescent="0.35">
      <c r="H163">
        <f>IF(Table2[[#This Row],[Kelurahan]]="","",ROW(M160))</f>
        <v>160</v>
      </c>
      <c r="I163" t="s">
        <v>383</v>
      </c>
      <c r="J163" t="s">
        <v>305</v>
      </c>
      <c r="K163" t="s">
        <v>283</v>
      </c>
      <c r="L163" t="s">
        <v>284</v>
      </c>
    </row>
    <row r="164" spans="8:12" x14ac:dyDescent="0.35">
      <c r="H164">
        <f>IF(Table2[[#This Row],[Kelurahan]]="","",ROW(M161))</f>
        <v>161</v>
      </c>
      <c r="I164" t="s">
        <v>384</v>
      </c>
      <c r="J164" t="s">
        <v>291</v>
      </c>
      <c r="K164" t="s">
        <v>283</v>
      </c>
      <c r="L164" t="s">
        <v>284</v>
      </c>
    </row>
    <row r="165" spans="8:12" x14ac:dyDescent="0.35">
      <c r="H165">
        <f>IF(Table2[[#This Row],[Kelurahan]]="","",ROW(M162))</f>
        <v>162</v>
      </c>
      <c r="I165" t="s">
        <v>386</v>
      </c>
      <c r="J165" t="s">
        <v>387</v>
      </c>
      <c r="K165" t="s">
        <v>283</v>
      </c>
      <c r="L165" t="s">
        <v>284</v>
      </c>
    </row>
    <row r="166" spans="8:12" x14ac:dyDescent="0.35">
      <c r="H166">
        <f>IF(Table2[[#This Row],[Kelurahan]]="","",ROW(M163))</f>
        <v>163</v>
      </c>
      <c r="I166" t="s">
        <v>388</v>
      </c>
      <c r="J166" t="s">
        <v>366</v>
      </c>
      <c r="K166" t="s">
        <v>283</v>
      </c>
      <c r="L166" t="s">
        <v>284</v>
      </c>
    </row>
    <row r="167" spans="8:12" x14ac:dyDescent="0.35">
      <c r="H167">
        <f>IF(Table2[[#This Row],[Kelurahan]]="","",ROW(M164))</f>
        <v>164</v>
      </c>
      <c r="I167" t="s">
        <v>391</v>
      </c>
      <c r="J167" t="s">
        <v>362</v>
      </c>
      <c r="K167" t="s">
        <v>283</v>
      </c>
      <c r="L167" t="s">
        <v>284</v>
      </c>
    </row>
    <row r="168" spans="8:12" x14ac:dyDescent="0.35">
      <c r="H168">
        <f>IF(Table2[[#This Row],[Kelurahan]]="","",ROW(M165))</f>
        <v>165</v>
      </c>
      <c r="I168" t="s">
        <v>392</v>
      </c>
      <c r="J168" t="s">
        <v>380</v>
      </c>
      <c r="K168" t="s">
        <v>283</v>
      </c>
      <c r="L168" t="s">
        <v>284</v>
      </c>
    </row>
    <row r="169" spans="8:12" x14ac:dyDescent="0.35">
      <c r="H169">
        <f>IF(Table2[[#This Row],[Kelurahan]]="","",ROW(M166))</f>
        <v>166</v>
      </c>
      <c r="I169" t="s">
        <v>394</v>
      </c>
      <c r="J169" t="s">
        <v>395</v>
      </c>
      <c r="K169" t="s">
        <v>288</v>
      </c>
      <c r="L169" t="s">
        <v>284</v>
      </c>
    </row>
    <row r="170" spans="8:12" x14ac:dyDescent="0.35">
      <c r="H170">
        <f>IF(Table2[[#This Row],[Kelurahan]]="","",ROW(M167))</f>
        <v>167</v>
      </c>
      <c r="I170" t="s">
        <v>451</v>
      </c>
      <c r="J170" t="s">
        <v>247</v>
      </c>
      <c r="K170" t="s">
        <v>157</v>
      </c>
      <c r="L170" t="s">
        <v>150</v>
      </c>
    </row>
    <row r="171" spans="8:12" x14ac:dyDescent="0.35">
      <c r="H171">
        <f>IF(Table2[[#This Row],[Kelurahan]]="","",ROW(M168))</f>
        <v>168</v>
      </c>
      <c r="I171" t="s">
        <v>479</v>
      </c>
      <c r="J171" t="s">
        <v>247</v>
      </c>
      <c r="K171" t="s">
        <v>157</v>
      </c>
      <c r="L171" t="s">
        <v>150</v>
      </c>
    </row>
    <row r="172" spans="8:12" x14ac:dyDescent="0.35">
      <c r="H172">
        <f>IF(Table2[[#This Row],[Kelurahan]]="","",ROW(M169))</f>
        <v>169</v>
      </c>
      <c r="I172" t="s">
        <v>531</v>
      </c>
      <c r="J172" t="s">
        <v>247</v>
      </c>
      <c r="K172" t="s">
        <v>157</v>
      </c>
      <c r="L172" t="s">
        <v>150</v>
      </c>
    </row>
    <row r="173" spans="8:12" x14ac:dyDescent="0.35">
      <c r="H173">
        <f>IF(Table2[[#This Row],[Kelurahan]]="","",ROW(M170))</f>
        <v>170</v>
      </c>
      <c r="I173" t="s">
        <v>544</v>
      </c>
      <c r="J173" t="s">
        <v>545</v>
      </c>
      <c r="K173" t="s">
        <v>155</v>
      </c>
      <c r="L173" t="s">
        <v>150</v>
      </c>
    </row>
    <row r="174" spans="8:12" x14ac:dyDescent="0.35">
      <c r="H174">
        <f>IF(Table2[[#This Row],[Kelurahan]]="","",ROW(M171))</f>
        <v>171</v>
      </c>
      <c r="I174" t="s">
        <v>555</v>
      </c>
      <c r="J174" t="s">
        <v>247</v>
      </c>
      <c r="K174" t="s">
        <v>157</v>
      </c>
      <c r="L174" t="s">
        <v>150</v>
      </c>
    </row>
  </sheetData>
  <phoneticPr fontId="6" type="noConversion"/>
  <dataValidations count="1">
    <dataValidation type="list" allowBlank="1" showInputMessage="1" showErrorMessage="1" sqref="D4:D78" xr:uid="{1984A5CA-F43B-4298-9AFA-C61006EBE159}">
      <formula1>t_kategori</formula1>
    </dataValidation>
  </dataValidation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29E606-9A84-4979-9542-C8820446B1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Quick Recap</vt:lpstr>
      <vt:lpstr>Main Recap</vt:lpstr>
      <vt:lpstr>Rekap Bencana</vt:lpstr>
      <vt:lpstr>Sebaran Dampak</vt:lpstr>
      <vt:lpstr>Kategori Program</vt:lpstr>
      <vt:lpstr>t_kab</vt:lpstr>
      <vt:lpstr>t_kategori</vt:lpstr>
      <vt:lpstr>t_kategoriP</vt:lpstr>
      <vt:lpstr>t_kec</vt:lpstr>
      <vt:lpstr>t_kel</vt:lpstr>
      <vt:lpstr>T_KetProgram</vt:lpstr>
      <vt:lpstr>t_nm</vt:lpstr>
      <vt:lpstr>t_prov</vt:lpstr>
      <vt:lpstr>T_SPM</vt:lpstr>
      <vt:lpstr>T_SPMFIX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Shinichi Lawliet</dc:creator>
  <cp:lastModifiedBy>Shinichi Lawliet</cp:lastModifiedBy>
  <dcterms:created xsi:type="dcterms:W3CDTF">2025-08-02T08:29:45Z</dcterms:created>
  <dcterms:modified xsi:type="dcterms:W3CDTF">2026-04-08T05:56:46Z</dcterms:modified>
</cp:coreProperties>
</file>