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aju Iranda Putra\Documents\Satu Amal Indonesia\SAI 2026\03. Maret\"/>
    </mc:Choice>
  </mc:AlternateContent>
  <xr:revisionPtr revIDLastSave="0" documentId="13_ncr:1_{3A26265A-C885-45A9-B7DD-CE27A1966009}" xr6:coauthVersionLast="47" xr6:coauthVersionMax="47" xr10:uidLastSave="{00000000-0000-0000-0000-000000000000}"/>
  <bookViews>
    <workbookView xWindow="-110" yWindow="-110" windowWidth="19420" windowHeight="10300" xr2:uid="{15A8FF7F-A1B7-40DF-B6C7-A9BBB5DCDE1B}"/>
  </bookViews>
  <sheets>
    <sheet name="Quick Recap" sheetId="1" r:id="rId1"/>
    <sheet name="Main Recap" sheetId="2" r:id="rId2"/>
    <sheet name="Rekap Bencana" sheetId="5" r:id="rId3"/>
    <sheet name="Sebaran Dampak" sheetId="4" r:id="rId4"/>
    <sheet name="Sebaran Dampak Ramadhan" sheetId="7" r:id="rId5"/>
    <sheet name="Kategori Program" sheetId="3" r:id="rId6"/>
  </sheets>
  <definedNames>
    <definedName name="_xlnm._FilterDatabase" localSheetId="3" hidden="1">'Sebaran Dampak'!$P$4:$S$37</definedName>
    <definedName name="_xlnm._FilterDatabase" localSheetId="4" hidden="1">'Sebaran Dampak Ramadhan'!$J$4:$L$200</definedName>
    <definedName name="t_kab">Table2[Kabupaten/Kota]</definedName>
    <definedName name="t_kategori">Table6[KATEGORI PROGRAM]</definedName>
    <definedName name="t_kategoriP">Table5[KATEGORI PROGRAM]</definedName>
    <definedName name="t_kec">Table2[Kecamatan]</definedName>
    <definedName name="t_kel">Table2[Kelurahan]</definedName>
    <definedName name="T_KetProgram">Table5[]</definedName>
    <definedName name="t_nm">Table5[NAMA PROGRAM]</definedName>
    <definedName name="t_prov">Table2[Provinsi]</definedName>
    <definedName name="T_SPM">Table13[]</definedName>
    <definedName name="T_SPMFIX">Table13[Sasaran PM]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7" l="1" a="1"/>
  <c r="K5" i="7" s="1"/>
  <c r="B45" i="7"/>
  <c r="B19" i="7"/>
  <c r="B5" i="7"/>
  <c r="B46" i="7"/>
  <c r="B11" i="7"/>
  <c r="B29" i="7"/>
  <c r="B39" i="7"/>
  <c r="B26" i="7"/>
  <c r="B27" i="7"/>
  <c r="B23" i="7"/>
  <c r="B44" i="7"/>
  <c r="B53" i="7"/>
  <c r="B49" i="7"/>
  <c r="B42" i="7"/>
  <c r="B32" i="7"/>
  <c r="B50" i="7"/>
  <c r="B48" i="7"/>
  <c r="B22" i="7"/>
  <c r="B16" i="7"/>
  <c r="B30" i="7"/>
  <c r="B47" i="7"/>
  <c r="B15" i="7"/>
  <c r="B9" i="7"/>
  <c r="B24" i="7"/>
  <c r="B25" i="7"/>
  <c r="B40" i="7"/>
  <c r="D45" i="7"/>
  <c r="E45" i="7" s="1"/>
  <c r="F45" i="7" s="1"/>
  <c r="D19" i="7"/>
  <c r="E19" i="7" s="1"/>
  <c r="F19" i="7" s="1"/>
  <c r="D5" i="7"/>
  <c r="E5" i="7" s="1"/>
  <c r="F5" i="7" s="1"/>
  <c r="D46" i="7"/>
  <c r="E46" i="7" s="1"/>
  <c r="F46" i="7" s="1"/>
  <c r="D11" i="7"/>
  <c r="E11" i="7" s="1"/>
  <c r="F11" i="7" s="1"/>
  <c r="D29" i="7"/>
  <c r="E29" i="7" s="1"/>
  <c r="F29" i="7" s="1"/>
  <c r="D39" i="7"/>
  <c r="E39" i="7" s="1"/>
  <c r="F39" i="7" s="1"/>
  <c r="D26" i="7"/>
  <c r="D27" i="7"/>
  <c r="D23" i="7"/>
  <c r="D44" i="7"/>
  <c r="D53" i="7"/>
  <c r="D49" i="7"/>
  <c r="E49" i="7" s="1"/>
  <c r="F49" i="7" s="1"/>
  <c r="D42" i="7"/>
  <c r="E42" i="7" s="1"/>
  <c r="F42" i="7" s="1"/>
  <c r="D32" i="7"/>
  <c r="E32" i="7" s="1"/>
  <c r="F32" i="7" s="1"/>
  <c r="D50" i="7"/>
  <c r="E50" i="7" s="1"/>
  <c r="F50" i="7" s="1"/>
  <c r="D48" i="7"/>
  <c r="E48" i="7" s="1"/>
  <c r="F48" i="7" s="1"/>
  <c r="D22" i="7"/>
  <c r="E22" i="7" s="1"/>
  <c r="F22" i="7" s="1"/>
  <c r="D16" i="7"/>
  <c r="E16" i="7" s="1"/>
  <c r="F16" i="7" s="1"/>
  <c r="D30" i="7"/>
  <c r="E30" i="7" s="1"/>
  <c r="F30" i="7" s="1"/>
  <c r="D47" i="7"/>
  <c r="E47" i="7" s="1"/>
  <c r="F47" i="7" s="1"/>
  <c r="D15" i="7"/>
  <c r="E15" i="7" s="1"/>
  <c r="F15" i="7" s="1"/>
  <c r="D9" i="7"/>
  <c r="D24" i="7"/>
  <c r="D25" i="7"/>
  <c r="E25" i="7" s="1"/>
  <c r="F25" i="7" s="1"/>
  <c r="D40" i="7"/>
  <c r="E40" i="7" s="1"/>
  <c r="F40" i="7" s="1"/>
  <c r="E26" i="7"/>
  <c r="F26" i="7" s="1"/>
  <c r="E27" i="7"/>
  <c r="F27" i="7" s="1"/>
  <c r="E23" i="7"/>
  <c r="F23" i="7" s="1"/>
  <c r="E44" i="7"/>
  <c r="F44" i="7" s="1"/>
  <c r="E53" i="7"/>
  <c r="F53" i="7" s="1"/>
  <c r="E9" i="7"/>
  <c r="F9" i="7" s="1"/>
  <c r="E24" i="7"/>
  <c r="F24" i="7" s="1"/>
  <c r="D17" i="7"/>
  <c r="E17" i="7" s="1"/>
  <c r="F17" i="7" s="1"/>
  <c r="B17" i="7"/>
  <c r="D54" i="7"/>
  <c r="E54" i="7" s="1"/>
  <c r="F54" i="7" s="1"/>
  <c r="B54" i="7"/>
  <c r="D6" i="7"/>
  <c r="E6" i="7" s="1"/>
  <c r="F6" i="7" s="1"/>
  <c r="B6" i="7"/>
  <c r="D31" i="7"/>
  <c r="E31" i="7" s="1"/>
  <c r="F31" i="7" s="1"/>
  <c r="B31" i="7"/>
  <c r="D43" i="7"/>
  <c r="E43" i="7" s="1"/>
  <c r="F43" i="7" s="1"/>
  <c r="B43" i="7"/>
  <c r="D38" i="7"/>
  <c r="E38" i="7" s="1"/>
  <c r="F38" i="7" s="1"/>
  <c r="B38" i="7"/>
  <c r="D34" i="7"/>
  <c r="E34" i="7" s="1"/>
  <c r="F34" i="7" s="1"/>
  <c r="B34" i="7"/>
  <c r="D18" i="7"/>
  <c r="E18" i="7" s="1"/>
  <c r="F18" i="7" s="1"/>
  <c r="B18" i="7"/>
  <c r="D10" i="7"/>
  <c r="E10" i="7" s="1"/>
  <c r="F10" i="7" s="1"/>
  <c r="B10" i="7"/>
  <c r="D8" i="7"/>
  <c r="E8" i="7" s="1"/>
  <c r="F8" i="7" s="1"/>
  <c r="B8" i="7"/>
  <c r="D35" i="7"/>
  <c r="E35" i="7" s="1"/>
  <c r="F35" i="7" s="1"/>
  <c r="B35" i="7"/>
  <c r="D20" i="7"/>
  <c r="E20" i="7" s="1"/>
  <c r="F20" i="7" s="1"/>
  <c r="B20" i="7"/>
  <c r="D14" i="7"/>
  <c r="E14" i="7" s="1"/>
  <c r="F14" i="7" s="1"/>
  <c r="B14" i="7"/>
  <c r="D28" i="7"/>
  <c r="E28" i="7" s="1"/>
  <c r="F28" i="7" s="1"/>
  <c r="B28" i="7"/>
  <c r="D7" i="7"/>
  <c r="E7" i="7" s="1"/>
  <c r="F7" i="7" s="1"/>
  <c r="B7" i="7"/>
  <c r="D12" i="7"/>
  <c r="E12" i="7" s="1"/>
  <c r="F12" i="7" s="1"/>
  <c r="B12" i="7"/>
  <c r="D21" i="7"/>
  <c r="E21" i="7" s="1"/>
  <c r="F21" i="7" s="1"/>
  <c r="B21" i="7"/>
  <c r="D33" i="7"/>
  <c r="E33" i="7" s="1"/>
  <c r="F33" i="7" s="1"/>
  <c r="B33" i="7"/>
  <c r="D13" i="7"/>
  <c r="E13" i="7" s="1"/>
  <c r="F13" i="7" s="1"/>
  <c r="B13" i="7"/>
  <c r="D52" i="7"/>
  <c r="E52" i="7" s="1"/>
  <c r="F52" i="7" s="1"/>
  <c r="B52" i="7"/>
  <c r="D36" i="7"/>
  <c r="E36" i="7" s="1"/>
  <c r="F36" i="7" s="1"/>
  <c r="B36" i="7"/>
  <c r="D41" i="7"/>
  <c r="E41" i="7" s="1"/>
  <c r="F41" i="7" s="1"/>
  <c r="B41" i="7"/>
  <c r="D51" i="7"/>
  <c r="E51" i="7" s="1"/>
  <c r="F51" i="7" s="1"/>
  <c r="B51" i="7"/>
  <c r="D37" i="7"/>
  <c r="E37" i="7" s="1"/>
  <c r="F37" i="7" s="1"/>
  <c r="B37" i="7"/>
  <c r="L5" i="7" l="1" a="1"/>
  <c r="L5" i="7" s="1"/>
  <c r="B23" i="2" l="1"/>
  <c r="B24" i="2"/>
  <c r="B25" i="2"/>
  <c r="B26" i="2"/>
  <c r="B27" i="2"/>
  <c r="B28" i="2"/>
  <c r="B29" i="2"/>
  <c r="B30" i="2"/>
  <c r="B31" i="2"/>
  <c r="D30" i="2"/>
  <c r="E30" i="2"/>
  <c r="D31" i="2"/>
  <c r="E31" i="2"/>
  <c r="C31" i="2"/>
  <c r="C30" i="2"/>
  <c r="D25" i="2"/>
  <c r="E25" i="2"/>
  <c r="D26" i="2"/>
  <c r="E26" i="2"/>
  <c r="D27" i="2"/>
  <c r="E27" i="2"/>
  <c r="D28" i="2"/>
  <c r="E28" i="2"/>
  <c r="D29" i="2"/>
  <c r="E29" i="2"/>
  <c r="C26" i="2"/>
  <c r="C27" i="2"/>
  <c r="C28" i="2"/>
  <c r="C29" i="2"/>
  <c r="C25" i="2"/>
  <c r="H44" i="2"/>
  <c r="I44" i="2"/>
  <c r="J44" i="2"/>
  <c r="B11" i="2"/>
  <c r="B12" i="2"/>
  <c r="B13" i="2"/>
  <c r="B14" i="2"/>
  <c r="B15" i="2"/>
  <c r="B16" i="2"/>
  <c r="B17" i="2"/>
  <c r="B18" i="2"/>
  <c r="B19" i="2"/>
  <c r="B20" i="2"/>
  <c r="B21" i="2"/>
  <c r="B22" i="2"/>
  <c r="D21" i="2"/>
  <c r="E21" i="2"/>
  <c r="D22" i="2"/>
  <c r="E22" i="2"/>
  <c r="C22" i="2"/>
  <c r="C21" i="2"/>
  <c r="I32" i="2"/>
  <c r="J32" i="2"/>
  <c r="H32" i="2"/>
  <c r="D17" i="2"/>
  <c r="E17" i="2"/>
  <c r="C17" i="2"/>
  <c r="D18" i="2"/>
  <c r="E18" i="2"/>
  <c r="C18" i="2"/>
  <c r="D13" i="2"/>
  <c r="E13" i="2"/>
  <c r="C13" i="2"/>
  <c r="M5" i="4" a="1"/>
  <c r="M5" i="4" s="1"/>
  <c r="E76" i="5"/>
  <c r="D76" i="5"/>
  <c r="E59" i="5"/>
  <c r="D59" i="5"/>
  <c r="E51" i="5"/>
  <c r="D51" i="5"/>
  <c r="E46" i="5"/>
  <c r="D46" i="5"/>
  <c r="E41" i="5"/>
  <c r="E79" i="5" s="1"/>
  <c r="D41" i="5"/>
  <c r="D79" i="5" s="1"/>
  <c r="O39" i="5"/>
  <c r="N39" i="5"/>
  <c r="N42" i="5" s="1"/>
  <c r="O35" i="5"/>
  <c r="N35" i="5"/>
  <c r="T32" i="5"/>
  <c r="S32" i="5"/>
  <c r="E32" i="5"/>
  <c r="D32" i="5"/>
  <c r="O31" i="5"/>
  <c r="N31" i="5"/>
  <c r="J30" i="5"/>
  <c r="I30" i="5"/>
  <c r="B29" i="5"/>
  <c r="B28" i="5"/>
  <c r="T27" i="5"/>
  <c r="S27" i="5"/>
  <c r="B27" i="5"/>
  <c r="O26" i="5"/>
  <c r="O42" i="5" s="1"/>
  <c r="N26" i="5"/>
  <c r="J26" i="5"/>
  <c r="I26" i="5"/>
  <c r="B26" i="5"/>
  <c r="B25" i="5"/>
  <c r="B24" i="5"/>
  <c r="T23" i="5"/>
  <c r="S23" i="5"/>
  <c r="B23" i="5"/>
  <c r="J22" i="5"/>
  <c r="J33" i="5" s="1"/>
  <c r="I22" i="5"/>
  <c r="B22" i="5"/>
  <c r="O21" i="5"/>
  <c r="N21" i="5"/>
  <c r="B21" i="5"/>
  <c r="B20" i="5"/>
  <c r="T19" i="5"/>
  <c r="T35" i="5" s="1"/>
  <c r="S19" i="5"/>
  <c r="S35" i="5" s="1"/>
  <c r="B19" i="5"/>
  <c r="J18" i="5"/>
  <c r="I18" i="5"/>
  <c r="I33" i="5" s="1"/>
  <c r="B18" i="5"/>
  <c r="B17" i="5"/>
  <c r="B16" i="5"/>
  <c r="B15" i="5"/>
  <c r="B14" i="5"/>
  <c r="O13" i="5"/>
  <c r="N13" i="5"/>
  <c r="B13" i="5"/>
  <c r="B12" i="5"/>
  <c r="S11" i="5"/>
  <c r="L11" i="5"/>
  <c r="B11" i="5"/>
  <c r="L10" i="5"/>
  <c r="J10" i="5"/>
  <c r="I10" i="5"/>
  <c r="B10" i="5"/>
  <c r="Q9" i="5"/>
  <c r="L9" i="5"/>
  <c r="B9" i="5"/>
  <c r="Q8" i="5"/>
  <c r="L8" i="5"/>
  <c r="G8" i="5"/>
  <c r="B8" i="5"/>
  <c r="Q7" i="5"/>
  <c r="L7" i="5"/>
  <c r="G7" i="5"/>
  <c r="B7" i="5"/>
  <c r="Q6" i="5"/>
  <c r="L6" i="5"/>
  <c r="G6" i="5"/>
  <c r="B6" i="5"/>
  <c r="Q5" i="5"/>
  <c r="L5" i="5"/>
  <c r="G5" i="5"/>
  <c r="B5" i="5"/>
  <c r="N5" i="4" l="1" a="1"/>
  <c r="N5" i="4" s="1"/>
  <c r="B84" i="3" l="1"/>
  <c r="B83" i="3"/>
  <c r="B82" i="3"/>
  <c r="B81" i="3"/>
  <c r="B80" i="3"/>
  <c r="B9" i="1" l="1"/>
  <c r="E9" i="1"/>
  <c r="I9" i="1"/>
  <c r="J9" i="1" s="1"/>
  <c r="K9" i="1" s="1"/>
  <c r="B79" i="3" l="1"/>
  <c r="I58" i="1" l="1"/>
  <c r="H175" i="3" l="1"/>
  <c r="B8" i="1" l="1"/>
  <c r="E8" i="1"/>
  <c r="I8" i="1"/>
  <c r="J8" i="1" s="1"/>
  <c r="K8" i="1" s="1"/>
  <c r="B14" i="1"/>
  <c r="E14" i="1"/>
  <c r="I14" i="1"/>
  <c r="J14" i="1" s="1"/>
  <c r="K14" i="1" s="1"/>
  <c r="B17" i="1"/>
  <c r="E17" i="1"/>
  <c r="I17" i="1"/>
  <c r="J17" i="1" s="1"/>
  <c r="K17" i="1" s="1"/>
  <c r="B18" i="1"/>
  <c r="E18" i="1"/>
  <c r="I18" i="1"/>
  <c r="J18" i="1" s="1"/>
  <c r="K18" i="1" s="1"/>
  <c r="B11" i="1"/>
  <c r="E11" i="1"/>
  <c r="I11" i="1"/>
  <c r="J11" i="1" s="1"/>
  <c r="K11" i="1" s="1"/>
  <c r="B12" i="1"/>
  <c r="E12" i="1"/>
  <c r="I12" i="1"/>
  <c r="J12" i="1" s="1"/>
  <c r="K12" i="1" s="1"/>
  <c r="B15" i="1"/>
  <c r="E15" i="1"/>
  <c r="I15" i="1"/>
  <c r="J15" i="1" s="1"/>
  <c r="K15" i="1" s="1"/>
  <c r="B16" i="1"/>
  <c r="E16" i="1"/>
  <c r="I16" i="1"/>
  <c r="J16" i="1" s="1"/>
  <c r="K16" i="1" s="1"/>
  <c r="B19" i="1"/>
  <c r="E19" i="1"/>
  <c r="I19" i="1"/>
  <c r="J19" i="1" s="1"/>
  <c r="K19" i="1" s="1"/>
  <c r="B23" i="1"/>
  <c r="E23" i="1"/>
  <c r="I23" i="1"/>
  <c r="J23" i="1" s="1"/>
  <c r="K23" i="1" s="1"/>
  <c r="B27" i="1"/>
  <c r="E27" i="1"/>
  <c r="I27" i="1"/>
  <c r="J27" i="1" s="1"/>
  <c r="K27" i="1" s="1"/>
  <c r="B20" i="1"/>
  <c r="E20" i="1"/>
  <c r="I20" i="1"/>
  <c r="J20" i="1" s="1"/>
  <c r="K20" i="1" s="1"/>
  <c r="B21" i="1"/>
  <c r="E21" i="1"/>
  <c r="I21" i="1"/>
  <c r="J21" i="1" s="1"/>
  <c r="K21" i="1" s="1"/>
  <c r="B24" i="1"/>
  <c r="E24" i="1"/>
  <c r="I24" i="1"/>
  <c r="J24" i="1" s="1"/>
  <c r="K24" i="1" s="1"/>
  <c r="B25" i="1"/>
  <c r="E25" i="1"/>
  <c r="I25" i="1"/>
  <c r="J25" i="1" s="1"/>
  <c r="K25" i="1" s="1"/>
  <c r="B30" i="1"/>
  <c r="E30" i="1"/>
  <c r="I30" i="1"/>
  <c r="J30" i="1" s="1"/>
  <c r="K30" i="1" s="1"/>
  <c r="B32" i="1"/>
  <c r="E32" i="1"/>
  <c r="I32" i="1"/>
  <c r="J32" i="1" s="1"/>
  <c r="K32" i="1" s="1"/>
  <c r="B28" i="1"/>
  <c r="E28" i="1"/>
  <c r="I28" i="1"/>
  <c r="J28" i="1" s="1"/>
  <c r="K28" i="1" s="1"/>
  <c r="B29" i="1"/>
  <c r="E29" i="1"/>
  <c r="I29" i="1"/>
  <c r="J29" i="1" s="1"/>
  <c r="K29" i="1" s="1"/>
  <c r="B36" i="1"/>
  <c r="E36" i="1"/>
  <c r="I36" i="1"/>
  <c r="J36" i="1" s="1"/>
  <c r="K36" i="1" s="1"/>
  <c r="B35" i="1"/>
  <c r="E35" i="1"/>
  <c r="I35" i="1"/>
  <c r="J35" i="1" s="1"/>
  <c r="K35" i="1" s="1"/>
  <c r="B38" i="1"/>
  <c r="E38" i="1"/>
  <c r="I38" i="1"/>
  <c r="J38" i="1" s="1"/>
  <c r="K38" i="1" s="1"/>
  <c r="B37" i="1"/>
  <c r="E37" i="1"/>
  <c r="I37" i="1"/>
  <c r="J37" i="1" s="1"/>
  <c r="K37" i="1" s="1"/>
  <c r="B40" i="1"/>
  <c r="E40" i="1"/>
  <c r="I40" i="1"/>
  <c r="J40" i="1" s="1"/>
  <c r="K40" i="1" s="1"/>
  <c r="B41" i="1"/>
  <c r="E41" i="1"/>
  <c r="I41" i="1"/>
  <c r="J41" i="1" s="1"/>
  <c r="K41" i="1" s="1"/>
  <c r="B42" i="1"/>
  <c r="E42" i="1"/>
  <c r="I42" i="1"/>
  <c r="J42" i="1" s="1"/>
  <c r="K42" i="1" s="1"/>
  <c r="B43" i="1"/>
  <c r="E43" i="1"/>
  <c r="I43" i="1"/>
  <c r="J43" i="1" s="1"/>
  <c r="K43" i="1" s="1"/>
  <c r="B46" i="1"/>
  <c r="E46" i="1"/>
  <c r="I46" i="1"/>
  <c r="J46" i="1" s="1"/>
  <c r="K46" i="1" s="1"/>
  <c r="B51" i="1"/>
  <c r="E51" i="1"/>
  <c r="I51" i="1"/>
  <c r="J51" i="1" s="1"/>
  <c r="K51" i="1" s="1"/>
  <c r="B45" i="1"/>
  <c r="E45" i="1"/>
  <c r="I45" i="1"/>
  <c r="J45" i="1" s="1"/>
  <c r="K45" i="1" s="1"/>
  <c r="B49" i="1"/>
  <c r="E49" i="1"/>
  <c r="I49" i="1"/>
  <c r="J49" i="1" s="1"/>
  <c r="K49" i="1" s="1"/>
  <c r="B50" i="1"/>
  <c r="E50" i="1"/>
  <c r="I50" i="1"/>
  <c r="J50" i="1" s="1"/>
  <c r="K50" i="1" s="1"/>
  <c r="B52" i="1"/>
  <c r="E52" i="1"/>
  <c r="I52" i="1"/>
  <c r="J52" i="1" s="1"/>
  <c r="K52" i="1" s="1"/>
  <c r="B58" i="1"/>
  <c r="E58" i="1"/>
  <c r="J58" i="1"/>
  <c r="K58" i="1" s="1"/>
  <c r="B55" i="1"/>
  <c r="E55" i="1"/>
  <c r="I55" i="1"/>
  <c r="J55" i="1" s="1"/>
  <c r="K55" i="1" s="1"/>
  <c r="B56" i="1"/>
  <c r="E56" i="1"/>
  <c r="I56" i="1"/>
  <c r="J56" i="1" s="1"/>
  <c r="K56" i="1" s="1"/>
  <c r="B57" i="1"/>
  <c r="E57" i="1"/>
  <c r="I57" i="1"/>
  <c r="J57" i="1" s="1"/>
  <c r="K57" i="1" s="1"/>
  <c r="B61" i="1"/>
  <c r="E61" i="1"/>
  <c r="I61" i="1"/>
  <c r="J61" i="1" s="1"/>
  <c r="K61" i="1" s="1"/>
  <c r="B60" i="1"/>
  <c r="E60" i="1"/>
  <c r="I60" i="1"/>
  <c r="J60" i="1" s="1"/>
  <c r="K60" i="1" s="1"/>
  <c r="B62" i="1"/>
  <c r="E62" i="1"/>
  <c r="I62" i="1"/>
  <c r="J62" i="1" s="1"/>
  <c r="K62" i="1" s="1"/>
  <c r="B47" i="1"/>
  <c r="E47" i="1"/>
  <c r="I47" i="1"/>
  <c r="J47" i="1" s="1"/>
  <c r="K47" i="1" s="1"/>
  <c r="B53" i="1"/>
  <c r="E53" i="1"/>
  <c r="I53" i="1"/>
  <c r="J53" i="1" s="1"/>
  <c r="K53" i="1" s="1"/>
  <c r="B39" i="1"/>
  <c r="E39" i="1"/>
  <c r="I39" i="1"/>
  <c r="J39" i="1" s="1"/>
  <c r="K39" i="1" s="1"/>
  <c r="B44" i="1"/>
  <c r="E44" i="1"/>
  <c r="I44" i="1"/>
  <c r="J44" i="1" s="1"/>
  <c r="K44" i="1" s="1"/>
  <c r="B48" i="1"/>
  <c r="E48" i="1"/>
  <c r="I48" i="1"/>
  <c r="J48" i="1" s="1"/>
  <c r="K48" i="1" s="1"/>
  <c r="B54" i="1"/>
  <c r="E54" i="1"/>
  <c r="I54" i="1"/>
  <c r="J54" i="1" s="1"/>
  <c r="K54" i="1" s="1"/>
  <c r="B59" i="1"/>
  <c r="E59" i="1"/>
  <c r="I59" i="1"/>
  <c r="J59" i="1" s="1"/>
  <c r="K59" i="1" s="1"/>
  <c r="B63" i="1"/>
  <c r="E63" i="1"/>
  <c r="I63" i="1"/>
  <c r="J63" i="1" s="1"/>
  <c r="K63" i="1" s="1"/>
  <c r="B64" i="1"/>
  <c r="E64" i="1"/>
  <c r="I64" i="1"/>
  <c r="J64" i="1" s="1"/>
  <c r="K64" i="1" s="1"/>
  <c r="B65" i="1"/>
  <c r="E65" i="1"/>
  <c r="I65" i="1"/>
  <c r="J65" i="1" s="1"/>
  <c r="K65" i="1" s="1"/>
  <c r="B66" i="1"/>
  <c r="E66" i="1"/>
  <c r="I66" i="1"/>
  <c r="J66" i="1" s="1"/>
  <c r="K66" i="1" s="1"/>
  <c r="B67" i="1"/>
  <c r="E67" i="1"/>
  <c r="I67" i="1"/>
  <c r="J67" i="1" s="1"/>
  <c r="K67" i="1" s="1"/>
  <c r="B6" i="1"/>
  <c r="E6" i="1"/>
  <c r="I6" i="1"/>
  <c r="J6" i="1" s="1"/>
  <c r="K6" i="1" s="1"/>
  <c r="B7" i="1"/>
  <c r="E7" i="1"/>
  <c r="I7" i="1"/>
  <c r="J7" i="1" s="1"/>
  <c r="K7" i="1" s="1"/>
  <c r="B10" i="1"/>
  <c r="E10" i="1"/>
  <c r="I10" i="1"/>
  <c r="J10" i="1" s="1"/>
  <c r="K10" i="1" s="1"/>
  <c r="B13" i="1"/>
  <c r="E13" i="1"/>
  <c r="I13" i="1"/>
  <c r="J13" i="1" s="1"/>
  <c r="K13" i="1" s="1"/>
  <c r="B22" i="1"/>
  <c r="E22" i="1"/>
  <c r="I22" i="1"/>
  <c r="J22" i="1" s="1"/>
  <c r="K22" i="1" s="1"/>
  <c r="B26" i="1"/>
  <c r="E26" i="1"/>
  <c r="I26" i="1"/>
  <c r="J26" i="1" s="1"/>
  <c r="K26" i="1" s="1"/>
  <c r="B33" i="1"/>
  <c r="E33" i="1"/>
  <c r="I33" i="1"/>
  <c r="J33" i="1" s="1"/>
  <c r="K33" i="1" s="1"/>
  <c r="B34" i="1"/>
  <c r="E34" i="1"/>
  <c r="I34" i="1"/>
  <c r="J34" i="1" s="1"/>
  <c r="K34" i="1" s="1"/>
  <c r="B31" i="1"/>
  <c r="E31" i="1"/>
  <c r="I31" i="1"/>
  <c r="J31" i="1" s="1"/>
  <c r="K31" i="1" s="1"/>
  <c r="H174" i="3"/>
  <c r="B78" i="3"/>
  <c r="H173" i="3"/>
  <c r="B77" i="3"/>
  <c r="H172" i="3" l="1"/>
  <c r="H171" i="3" l="1"/>
  <c r="B76" i="3"/>
  <c r="B75" i="3" l="1"/>
  <c r="B74" i="3"/>
  <c r="H170" i="3"/>
  <c r="B73" i="3" l="1"/>
  <c r="B72" i="3"/>
  <c r="H8" i="2"/>
  <c r="H9" i="2"/>
  <c r="H10" i="2"/>
  <c r="H7" i="2"/>
  <c r="I8" i="2"/>
  <c r="I9" i="2"/>
  <c r="I10" i="2"/>
  <c r="I7" i="2"/>
  <c r="C5" i="2" l="1"/>
  <c r="C6" i="2"/>
  <c r="C7" i="2"/>
  <c r="C8" i="2"/>
  <c r="C9" i="2"/>
  <c r="C10" i="2"/>
  <c r="C11" i="2"/>
  <c r="C12" i="2"/>
  <c r="C14" i="2"/>
  <c r="C15" i="2"/>
  <c r="C16" i="2"/>
  <c r="C19" i="2"/>
  <c r="C20" i="2"/>
  <c r="C23" i="2"/>
  <c r="C24" i="2"/>
  <c r="D6" i="2"/>
  <c r="D7" i="2"/>
  <c r="D8" i="2"/>
  <c r="D9" i="2"/>
  <c r="D10" i="2"/>
  <c r="D11" i="2"/>
  <c r="D12" i="2"/>
  <c r="D14" i="2"/>
  <c r="D15" i="2"/>
  <c r="D16" i="2"/>
  <c r="D19" i="2"/>
  <c r="D20" i="2"/>
  <c r="D23" i="2"/>
  <c r="D24" i="2"/>
  <c r="E24" i="2"/>
  <c r="E23" i="2"/>
  <c r="E20" i="2"/>
  <c r="E14" i="2"/>
  <c r="E15" i="2"/>
  <c r="E16" i="2"/>
  <c r="E19" i="2"/>
  <c r="E12" i="2"/>
  <c r="E5" i="2"/>
  <c r="E6" i="2"/>
  <c r="E7" i="2"/>
  <c r="E8" i="2"/>
  <c r="E9" i="2"/>
  <c r="E10" i="2"/>
  <c r="E11" i="2"/>
  <c r="D5" i="2"/>
  <c r="D9" i="4"/>
  <c r="E9" i="4" s="1"/>
  <c r="F9" i="4" s="1"/>
  <c r="D12" i="4"/>
  <c r="E12" i="4" s="1"/>
  <c r="F12" i="4" s="1"/>
  <c r="D26" i="4"/>
  <c r="E26" i="4" s="1"/>
  <c r="F26" i="4" s="1"/>
  <c r="D16" i="4"/>
  <c r="E16" i="4" s="1"/>
  <c r="F16" i="4" s="1"/>
  <c r="D21" i="4"/>
  <c r="E21" i="4" s="1"/>
  <c r="F21" i="4" s="1"/>
  <c r="D13" i="4"/>
  <c r="E13" i="4" s="1"/>
  <c r="F13" i="4" s="1"/>
  <c r="D7" i="4"/>
  <c r="E7" i="4" s="1"/>
  <c r="F7" i="4" s="1"/>
  <c r="D8" i="4"/>
  <c r="E8" i="4" s="1"/>
  <c r="F8" i="4" s="1"/>
  <c r="D24" i="4"/>
  <c r="E24" i="4" s="1"/>
  <c r="F24" i="4" s="1"/>
  <c r="D27" i="4"/>
  <c r="E27" i="4" s="1"/>
  <c r="F27" i="4" s="1"/>
  <c r="D22" i="4"/>
  <c r="E22" i="4" s="1"/>
  <c r="F22" i="4" s="1"/>
  <c r="D14" i="4"/>
  <c r="E14" i="4" s="1"/>
  <c r="F14" i="4" s="1"/>
  <c r="D25" i="4"/>
  <c r="E25" i="4" s="1"/>
  <c r="F25" i="4" s="1"/>
  <c r="D5" i="4"/>
  <c r="E5" i="4" s="1"/>
  <c r="F5" i="4" s="1"/>
  <c r="D18" i="4"/>
  <c r="E18" i="4" s="1"/>
  <c r="F18" i="4" s="1"/>
  <c r="D23" i="4"/>
  <c r="E23" i="4" s="1"/>
  <c r="F23" i="4" s="1"/>
  <c r="D6" i="4"/>
  <c r="E6" i="4" s="1"/>
  <c r="F6" i="4" s="1"/>
  <c r="D20" i="4"/>
  <c r="E20" i="4" s="1"/>
  <c r="F20" i="4" s="1"/>
  <c r="D15" i="4"/>
  <c r="E15" i="4" s="1"/>
  <c r="F15" i="4" s="1"/>
  <c r="D10" i="4"/>
  <c r="E10" i="4" s="1"/>
  <c r="F10" i="4" s="1"/>
  <c r="D11" i="4"/>
  <c r="E11" i="4" s="1"/>
  <c r="F11" i="4" s="1"/>
  <c r="D17" i="4"/>
  <c r="E17" i="4" s="1"/>
  <c r="F17" i="4" s="1"/>
  <c r="D28" i="4"/>
  <c r="E28" i="4" s="1"/>
  <c r="F28" i="4" s="1"/>
  <c r="D19" i="4"/>
  <c r="E19" i="4" s="1"/>
  <c r="F19" i="4" s="1"/>
  <c r="B21" i="4"/>
  <c r="B6" i="4"/>
  <c r="B9" i="4"/>
  <c r="B8" i="4"/>
  <c r="D34" i="2" l="1"/>
  <c r="E34" i="2"/>
  <c r="J12" i="2"/>
  <c r="H169" i="3" l="1"/>
  <c r="Q4" i="1" l="1"/>
  <c r="B67" i="3" l="1"/>
  <c r="H168" i="3"/>
  <c r="B66" i="3"/>
  <c r="H167" i="3" l="1"/>
  <c r="H166" i="3" l="1"/>
  <c r="H165" i="3"/>
  <c r="B65" i="3" l="1"/>
  <c r="H164" i="3"/>
  <c r="H163" i="3"/>
  <c r="H162" i="3"/>
  <c r="H161" i="3"/>
  <c r="B42" i="3" l="1"/>
  <c r="H160" i="3"/>
  <c r="B64" i="3"/>
  <c r="B63" i="3"/>
  <c r="H159" i="3"/>
  <c r="H158" i="3"/>
  <c r="B62" i="3"/>
  <c r="H157" i="3"/>
  <c r="H156" i="3"/>
  <c r="H155" i="3"/>
  <c r="B61" i="3"/>
  <c r="H154" i="3"/>
  <c r="H153" i="3"/>
  <c r="B60" i="3"/>
  <c r="B59" i="3"/>
  <c r="B5" i="1" l="1"/>
  <c r="E5" i="1"/>
  <c r="I5" i="1"/>
  <c r="J5" i="1" s="1"/>
  <c r="K5" i="1" s="1"/>
  <c r="B23" i="4"/>
  <c r="B17" i="4"/>
  <c r="B5" i="4"/>
  <c r="B19" i="4"/>
  <c r="B20" i="4"/>
  <c r="B15" i="4"/>
  <c r="B27" i="4"/>
  <c r="B7" i="4"/>
  <c r="B11" i="4"/>
  <c r="B26" i="4"/>
  <c r="B14" i="4"/>
  <c r="B28" i="4"/>
  <c r="B12" i="4"/>
  <c r="B18" i="4"/>
  <c r="B25" i="4"/>
  <c r="B10" i="4"/>
  <c r="B16" i="4"/>
  <c r="B24" i="4"/>
  <c r="B22" i="4"/>
  <c r="B13" i="4"/>
  <c r="B10" i="2"/>
  <c r="B5" i="2"/>
  <c r="J5" i="4"/>
  <c r="J49" i="2"/>
  <c r="I49" i="2"/>
  <c r="H49" i="2"/>
  <c r="I23" i="2"/>
  <c r="I12" i="2"/>
  <c r="B52" i="3" l="1"/>
  <c r="B51" i="3"/>
  <c r="H152" i="3"/>
  <c r="H151" i="3"/>
  <c r="H150" i="3"/>
  <c r="H149" i="3"/>
  <c r="H148" i="3"/>
  <c r="H147" i="3" l="1"/>
  <c r="H146" i="3"/>
  <c r="B47" i="3"/>
  <c r="H145" i="3"/>
  <c r="B58" i="3"/>
  <c r="B57" i="3"/>
  <c r="H144" i="3"/>
  <c r="B56" i="3"/>
  <c r="H143" i="3" l="1"/>
  <c r="H8" i="3"/>
  <c r="B48" i="3"/>
  <c r="H11" i="3"/>
  <c r="H9" i="3"/>
  <c r="H12" i="3"/>
  <c r="H4" i="3"/>
  <c r="B50" i="3"/>
  <c r="B15" i="3" l="1"/>
  <c r="B14" i="3"/>
  <c r="H10" i="3" l="1"/>
  <c r="B41" i="3"/>
  <c r="H7" i="3"/>
  <c r="H6" i="3"/>
  <c r="H14" i="3"/>
  <c r="H5" i="3"/>
  <c r="B45" i="3"/>
  <c r="H15" i="3"/>
  <c r="H16" i="3"/>
  <c r="H13" i="3"/>
  <c r="H142" i="3"/>
  <c r="H17" i="3"/>
  <c r="H29" i="3"/>
  <c r="B44" i="3"/>
  <c r="H28" i="3"/>
  <c r="H27" i="3"/>
  <c r="H26" i="3"/>
  <c r="H24" i="3"/>
  <c r="H25" i="3"/>
  <c r="B43" i="3"/>
  <c r="B46" i="3"/>
  <c r="B49" i="3"/>
  <c r="B53" i="3"/>
  <c r="B55" i="3"/>
  <c r="J36" i="2" l="1"/>
  <c r="I36" i="2"/>
  <c r="I52" i="2" s="1" a="1"/>
  <c r="I52" i="2" s="1"/>
  <c r="H36" i="2"/>
  <c r="B6" i="2"/>
  <c r="B7" i="2"/>
  <c r="B8" i="2"/>
  <c r="B9" i="2"/>
  <c r="H32" i="3" l="1"/>
  <c r="H31" i="3" l="1"/>
  <c r="B40" i="3" l="1"/>
  <c r="B18" i="3" l="1"/>
  <c r="B35" i="3"/>
  <c r="N16" i="3"/>
  <c r="H34" i="3"/>
  <c r="B17" i="3"/>
  <c r="B16" i="3"/>
  <c r="B34" i="3" l="1"/>
  <c r="B71" i="3"/>
  <c r="B13" i="3"/>
  <c r="B12" i="3"/>
  <c r="H22" i="3" l="1"/>
  <c r="B33" i="3"/>
  <c r="B11" i="3"/>
  <c r="H30" i="3" l="1"/>
  <c r="N15" i="3" l="1"/>
  <c r="B10" i="3"/>
  <c r="B9" i="3"/>
  <c r="B32" i="3"/>
  <c r="N14" i="3"/>
  <c r="N13" i="3"/>
  <c r="N12" i="3"/>
  <c r="N11" i="3"/>
  <c r="N4" i="3"/>
  <c r="N5" i="3"/>
  <c r="N6" i="3"/>
  <c r="N7" i="3"/>
  <c r="N8" i="3"/>
  <c r="N9" i="3"/>
  <c r="N10" i="3"/>
  <c r="B8" i="3"/>
  <c r="B7" i="3" l="1"/>
  <c r="B6" i="3" l="1"/>
  <c r="B70" i="3"/>
  <c r="J23" i="2" l="1"/>
  <c r="J52" i="2" s="1" a="1"/>
  <c r="J52" i="2" s="1"/>
  <c r="H23" i="2"/>
  <c r="H12" i="2"/>
  <c r="H52" i="2" s="1" a="1"/>
  <c r="H52" i="2" s="1"/>
  <c r="H18" i="3" l="1"/>
  <c r="B20" i="3"/>
  <c r="B19" i="3"/>
  <c r="B5" i="3"/>
  <c r="B54" i="3"/>
  <c r="H23" i="3" l="1"/>
  <c r="B31" i="3"/>
  <c r="H20" i="3"/>
  <c r="H19" i="3"/>
  <c r="B4" i="3" l="1"/>
  <c r="B30" i="3" l="1"/>
  <c r="B29" i="3"/>
  <c r="H33" i="3"/>
  <c r="H21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B21" i="3"/>
  <c r="H47" i="3"/>
  <c r="B69" i="3"/>
  <c r="H46" i="3"/>
  <c r="B28" i="3"/>
  <c r="H45" i="3"/>
  <c r="B27" i="3"/>
  <c r="H44" i="3"/>
  <c r="B26" i="3"/>
  <c r="H43" i="3"/>
  <c r="B68" i="3"/>
  <c r="H42" i="3"/>
  <c r="B39" i="3"/>
  <c r="H41" i="3"/>
  <c r="B38" i="3"/>
  <c r="H40" i="3"/>
  <c r="B37" i="3"/>
  <c r="H39" i="3"/>
  <c r="B36" i="3"/>
  <c r="H38" i="3"/>
  <c r="B25" i="3"/>
  <c r="H37" i="3"/>
  <c r="B24" i="3"/>
  <c r="H36" i="3"/>
  <c r="B23" i="3"/>
  <c r="H35" i="3"/>
  <c r="B2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<sst xmlns="http://schemas.openxmlformats.org/spreadsheetml/2006/main" count="2136" uniqueCount="539">
  <si>
    <t>Distribusi Nasi Minang Raya II</t>
  </si>
  <si>
    <t>Pangan</t>
  </si>
  <si>
    <t>Cerita Kolong Langit</t>
  </si>
  <si>
    <t>Ruang Yakin Cerdas</t>
  </si>
  <si>
    <t>Pendidikan</t>
  </si>
  <si>
    <t>Total PM</t>
  </si>
  <si>
    <t>Sekolah Pinggiran Sriwijaya</t>
  </si>
  <si>
    <t>Rumah Belajar Ceria</t>
  </si>
  <si>
    <t>PJ TIM</t>
  </si>
  <si>
    <t>Snack Ceria</t>
  </si>
  <si>
    <t>Syiar &amp; Dakwah</t>
  </si>
  <si>
    <t>KATEGORI PROGRAM</t>
  </si>
  <si>
    <t>Pemberdayaan</t>
  </si>
  <si>
    <t>Event Sosial</t>
  </si>
  <si>
    <t>KETERANGAN PROGRAM</t>
  </si>
  <si>
    <t>NO</t>
  </si>
  <si>
    <t>NAMA PROGRAM</t>
  </si>
  <si>
    <t>Free Food Car Sekolah Relawan</t>
  </si>
  <si>
    <t>Distribusi Makan Warung Nusantara</t>
  </si>
  <si>
    <t>Distribusi Al-Qur'an</t>
  </si>
  <si>
    <t>Sembako Lansia &amp; Guru Ngaji</t>
  </si>
  <si>
    <t>Distribusi Nasi Almaz</t>
  </si>
  <si>
    <t>TITIK MAPS</t>
  </si>
  <si>
    <t>KECAMATAN</t>
  </si>
  <si>
    <t>PROVINSI</t>
  </si>
  <si>
    <t>JUMLAH PM</t>
  </si>
  <si>
    <t>BENTUK BANTUAN</t>
  </si>
  <si>
    <t>KATEGORI SEBARAN DAMPAK</t>
  </si>
  <si>
    <t>No</t>
  </si>
  <si>
    <t>Kelurahan</t>
  </si>
  <si>
    <t>Kecamatan</t>
  </si>
  <si>
    <t>Provinsi</t>
  </si>
  <si>
    <t>Alang-Alang Lebar</t>
  </si>
  <si>
    <t>Karya Baru</t>
  </si>
  <si>
    <t>Srijaya</t>
  </si>
  <si>
    <t>Talang Kelapa</t>
  </si>
  <si>
    <t>19 Ilir</t>
  </si>
  <si>
    <t>22 Ilir</t>
  </si>
  <si>
    <t>24 Ilir</t>
  </si>
  <si>
    <t>26 Ilir</t>
  </si>
  <si>
    <t>Talang Semut</t>
  </si>
  <si>
    <t>36 Ilir</t>
  </si>
  <si>
    <t>Gandus</t>
  </si>
  <si>
    <t>Karang Anyar</t>
  </si>
  <si>
    <t>Pulo Kerto</t>
  </si>
  <si>
    <t>26 Ilir D-I</t>
  </si>
  <si>
    <t>Bukit Baru</t>
  </si>
  <si>
    <t>Bukit Lama</t>
  </si>
  <si>
    <t>Demang Lebar Daun</t>
  </si>
  <si>
    <t>Lorok Pakjo</t>
  </si>
  <si>
    <t>Siring Agung</t>
  </si>
  <si>
    <t>27 Ilir</t>
  </si>
  <si>
    <t>28 Ilir</t>
  </si>
  <si>
    <t>29 Ilir</t>
  </si>
  <si>
    <t>30 Ilir</t>
  </si>
  <si>
    <t>32 Ilir</t>
  </si>
  <si>
    <t>35 Ilir</t>
  </si>
  <si>
    <t>Kemang Manis</t>
  </si>
  <si>
    <t>13 Ilir</t>
  </si>
  <si>
    <t>14 Ilir</t>
  </si>
  <si>
    <t>15 Ilir</t>
  </si>
  <si>
    <t>16 Ilir</t>
  </si>
  <si>
    <t>17 Ilir</t>
  </si>
  <si>
    <t>18 Ilir</t>
  </si>
  <si>
    <t>20 Ilir D-I</t>
  </si>
  <si>
    <t>20 Ilir D-III</t>
  </si>
  <si>
    <t>20 Ilir D-IV</t>
  </si>
  <si>
    <t>Kepandean baru</t>
  </si>
  <si>
    <t>Sungai Pangeran</t>
  </si>
  <si>
    <t>1 Ilir</t>
  </si>
  <si>
    <t>2 Ilir</t>
  </si>
  <si>
    <t>3 Ilir</t>
  </si>
  <si>
    <t>5 Ilir</t>
  </si>
  <si>
    <t>Lawang Kidul</t>
  </si>
  <si>
    <t>Sungai Buah</t>
  </si>
  <si>
    <t>8 Ilir</t>
  </si>
  <si>
    <t>9 Ilir</t>
  </si>
  <si>
    <t>10 Ilir</t>
  </si>
  <si>
    <t>11 Ilir</t>
  </si>
  <si>
    <t>Duku</t>
  </si>
  <si>
    <t>Kuto Batu</t>
  </si>
  <si>
    <t>8 Ulu</t>
  </si>
  <si>
    <t>9/10 Ulu</t>
  </si>
  <si>
    <t>15 Ulu</t>
  </si>
  <si>
    <t>Silaberanti</t>
  </si>
  <si>
    <t>Tuan Kentang</t>
  </si>
  <si>
    <t>Bukit Sangkal</t>
  </si>
  <si>
    <t>Kalidoni</t>
  </si>
  <si>
    <t>Sei Lais</t>
  </si>
  <si>
    <t>Sei Selayur</t>
  </si>
  <si>
    <t>Sei Selincah</t>
  </si>
  <si>
    <t>Ario Kemuning</t>
  </si>
  <si>
    <t>Pahlawan</t>
  </si>
  <si>
    <t>Pipa Reja</t>
  </si>
  <si>
    <t>Sekip Jaya</t>
  </si>
  <si>
    <t>Talang Aman</t>
  </si>
  <si>
    <t>Karya Jaya</t>
  </si>
  <si>
    <t>Kemang Agung</t>
  </si>
  <si>
    <t>Kemas Rindo</t>
  </si>
  <si>
    <t>Keramasan</t>
  </si>
  <si>
    <t>Kertapati</t>
  </si>
  <si>
    <t>Ogan Baru</t>
  </si>
  <si>
    <t>Bagus Kuning</t>
  </si>
  <si>
    <t xml:space="preserve">Komperta </t>
  </si>
  <si>
    <t>Plaju Darat</t>
  </si>
  <si>
    <t>Plaju Ilir</t>
  </si>
  <si>
    <t>Plaju Ulu</t>
  </si>
  <si>
    <t>Talang Bubuk</t>
  </si>
  <si>
    <t>Talang Putri</t>
  </si>
  <si>
    <t>Sako</t>
  </si>
  <si>
    <t>Sako Baru</t>
  </si>
  <si>
    <t>Sialang</t>
  </si>
  <si>
    <t>Sukamaju</t>
  </si>
  <si>
    <t>1 Ulu</t>
  </si>
  <si>
    <t>2 Ulu</t>
  </si>
  <si>
    <t>3-4 Ulu</t>
  </si>
  <si>
    <t>5 Ulu</t>
  </si>
  <si>
    <t>7 Ulu</t>
  </si>
  <si>
    <t>11 Ulu</t>
  </si>
  <si>
    <t>12 Ulu</t>
  </si>
  <si>
    <t>13 Ulu</t>
  </si>
  <si>
    <t>14 Ulu</t>
  </si>
  <si>
    <t>16 Ulu</t>
  </si>
  <si>
    <t>Sentosa</t>
  </si>
  <si>
    <t>Tangga Takat</t>
  </si>
  <si>
    <t>Karya Mulya</t>
  </si>
  <si>
    <t>Lebung Gajah</t>
  </si>
  <si>
    <t>Sri Mulya</t>
  </si>
  <si>
    <t>Sukamulya</t>
  </si>
  <si>
    <t>Kebun Bunga</t>
  </si>
  <si>
    <t>Sukabangun</t>
  </si>
  <si>
    <t>Sukajaya</t>
  </si>
  <si>
    <t>Sukarami</t>
  </si>
  <si>
    <t>Sukodadi</t>
  </si>
  <si>
    <t>Talang Betutu</t>
  </si>
  <si>
    <t>Talang Jambe</t>
  </si>
  <si>
    <t>Bukit Kecil</t>
  </si>
  <si>
    <t>23 Ilir</t>
  </si>
  <si>
    <t>Karang Jaya</t>
  </si>
  <si>
    <t>Ilir Barat I</t>
  </si>
  <si>
    <t>Ilir Barat II</t>
  </si>
  <si>
    <t>Ilir Timur I</t>
  </si>
  <si>
    <t>Ilir Timur II</t>
  </si>
  <si>
    <t>Ilir Timur III</t>
  </si>
  <si>
    <t>Jakabaring</t>
  </si>
  <si>
    <t>Kemuning</t>
  </si>
  <si>
    <t>Plaju</t>
  </si>
  <si>
    <t>Seberang Ulu I</t>
  </si>
  <si>
    <t>Seberang Ulu II</t>
  </si>
  <si>
    <t>Sematang Borang</t>
  </si>
  <si>
    <t>Sumatera Selatan</t>
  </si>
  <si>
    <t>Kabupaten/Kota</t>
  </si>
  <si>
    <t>Palembang</t>
  </si>
  <si>
    <t>Beras Untuk Santri, Yatim &amp; Dhuafa</t>
  </si>
  <si>
    <t>Sukamoro</t>
  </si>
  <si>
    <t>Banyuasin</t>
  </si>
  <si>
    <t>Pemulutan</t>
  </si>
  <si>
    <t>Ogan Ilir</t>
  </si>
  <si>
    <t>Pemulutan Ulu</t>
  </si>
  <si>
    <t>Distribusi Rice Box Bubur Jolly</t>
  </si>
  <si>
    <t>Nama Lokasi Program</t>
  </si>
  <si>
    <t>TANGGAL</t>
  </si>
  <si>
    <t>KAB./KOTA</t>
  </si>
  <si>
    <t>Rice Box Dosen Unsri</t>
  </si>
  <si>
    <t>Sharing Knowledge</t>
  </si>
  <si>
    <t>Kenten</t>
  </si>
  <si>
    <t>Kenten Laut</t>
  </si>
  <si>
    <t>Social Response</t>
  </si>
  <si>
    <t>Tanah Mas</t>
  </si>
  <si>
    <t>Penyaluran PLP</t>
  </si>
  <si>
    <t>Pasar Sehat</t>
  </si>
  <si>
    <t>Palestina</t>
  </si>
  <si>
    <t>Bantuan Pendidikan Palestina</t>
  </si>
  <si>
    <t>Bantuan Pangan Palestina</t>
  </si>
  <si>
    <t>Merah Mata</t>
  </si>
  <si>
    <t>Rekap Penerima Manfaat Berdasarkan Jenis Program</t>
  </si>
  <si>
    <t>Rekap Penerima Manfaat Berdasarkan Kategori Program &amp; Titik Lokasi</t>
  </si>
  <si>
    <t>Nama Program</t>
  </si>
  <si>
    <t>Jumlah Pelaksanaan</t>
  </si>
  <si>
    <t>Jumlah PM</t>
  </si>
  <si>
    <t>PROGRAM PENDIDIKAN</t>
  </si>
  <si>
    <t>Jumlah Titik Lokasi</t>
  </si>
  <si>
    <t>Pendidikan Formal PAUD KB CERIA</t>
  </si>
  <si>
    <t>Pendidikan Formal PAUD SPS</t>
  </si>
  <si>
    <t>Rumah Tafizh Al- Amal</t>
  </si>
  <si>
    <t>Free Food Car</t>
  </si>
  <si>
    <t>TOTAL</t>
  </si>
  <si>
    <t>Beras untuk Yatim Dhufa</t>
  </si>
  <si>
    <t>PROGRAM PANGAN</t>
  </si>
  <si>
    <t>TOTAL KESELURUHAN</t>
  </si>
  <si>
    <t xml:space="preserve">PROGRAM PEMBERDAYAAN </t>
  </si>
  <si>
    <t>Program Pemberdayaan Pembuatan Keset Kaki</t>
  </si>
  <si>
    <t>PROGRAM EVENT SOSIAL</t>
  </si>
  <si>
    <t>Pelaksanaan</t>
  </si>
  <si>
    <t>Qurban Masyrakat Pedado</t>
  </si>
  <si>
    <t>REKAP SEBARAN DAMPAK PROGRAM BERDASARKAN LOKASI DARI GERAKAN KERELAWANAN</t>
  </si>
  <si>
    <t>Kab/Kota</t>
  </si>
  <si>
    <t>Negara</t>
  </si>
  <si>
    <t>Kuantitas program</t>
  </si>
  <si>
    <t>Indonesia</t>
  </si>
  <si>
    <t>Total</t>
  </si>
  <si>
    <t>Penyaluran Zakat</t>
  </si>
  <si>
    <t>Kolaborasi Nakama</t>
  </si>
  <si>
    <t>Masterpiece Project IVC</t>
  </si>
  <si>
    <t>Pengabdian Dosen</t>
  </si>
  <si>
    <t>Sasaran PM</t>
  </si>
  <si>
    <t>Anak-Anak Pinggiran</t>
  </si>
  <si>
    <t>Anak-Anak Yatim Dhuafa</t>
  </si>
  <si>
    <t>Santri Pondok Pesantren</t>
  </si>
  <si>
    <t>Santri Rumah Tahfidz</t>
  </si>
  <si>
    <t>Santri TPA/TPQ</t>
  </si>
  <si>
    <t>Lansia Pejuang Nafkah Dhuafa</t>
  </si>
  <si>
    <t>Pejuang Nafkah</t>
  </si>
  <si>
    <t>Ibu-Ibu Pejuang Nafkah</t>
  </si>
  <si>
    <t>Relawan Satu Amal Indonesia</t>
  </si>
  <si>
    <t>Siswa Sekolah</t>
  </si>
  <si>
    <t>Jama'ah Masjid</t>
  </si>
  <si>
    <t>Free Food Car Palembang Info</t>
  </si>
  <si>
    <t>Edutrip CKL</t>
  </si>
  <si>
    <t>Sultan Muda Digination Run</t>
  </si>
  <si>
    <t>Masyarakat Umum</t>
  </si>
  <si>
    <t>Segamit</t>
  </si>
  <si>
    <t>Semende Darat Ulu</t>
  </si>
  <si>
    <t>Muara Enim</t>
  </si>
  <si>
    <t>20 Ilir D-II</t>
  </si>
  <si>
    <t>Manasik Haji</t>
  </si>
  <si>
    <t>Distribusi Rice Box Ayam Geprek</t>
  </si>
  <si>
    <t>Talang Buluh</t>
  </si>
  <si>
    <t>Bantuan Pertamina</t>
  </si>
  <si>
    <t>Edutrip RYC</t>
  </si>
  <si>
    <t>Sajadah Santri</t>
  </si>
  <si>
    <t>Distribusi Nasi Pejuang Nafkah</t>
  </si>
  <si>
    <t>Clean Up Village</t>
  </si>
  <si>
    <t>Lingkungan</t>
  </si>
  <si>
    <t>Gerakan Bersih-Bersih Kota</t>
  </si>
  <si>
    <t>Tanjung Batu</t>
  </si>
  <si>
    <t>Burai</t>
  </si>
  <si>
    <t>Distribusi Rice Box</t>
  </si>
  <si>
    <t>Rice Box</t>
  </si>
  <si>
    <t>Masyarakat Tunanetra</t>
  </si>
  <si>
    <t>Distribusi Air Bersih</t>
  </si>
  <si>
    <t>Beasiswa Pendidikan BGH</t>
  </si>
  <si>
    <t>Indralaya</t>
  </si>
  <si>
    <t>Sakatiga</t>
  </si>
  <si>
    <t>Timbangan</t>
  </si>
  <si>
    <t>Indralaya Utara</t>
  </si>
  <si>
    <t>Respon Bencana (Pangan)</t>
  </si>
  <si>
    <t>Respon Bencana (Kebutuhan Sekolah)</t>
  </si>
  <si>
    <t>Respon Bencana (Bantuan Kesehatan)</t>
  </si>
  <si>
    <t xml:space="preserve">Bersih-Bersih Rumah Korban </t>
  </si>
  <si>
    <t>Bantuan Perlengkapan Sekolah</t>
  </si>
  <si>
    <t xml:space="preserve">Bantuan Snack Ceria </t>
  </si>
  <si>
    <t>Respon Bencana (Recovery)</t>
  </si>
  <si>
    <t>Bantuan Makan Sehat</t>
  </si>
  <si>
    <t xml:space="preserve">Bantuan Masker </t>
  </si>
  <si>
    <t>Supiturang</t>
  </si>
  <si>
    <t>Pronojiwo</t>
  </si>
  <si>
    <t>Lumajang</t>
  </si>
  <si>
    <t>Jawa Timur</t>
  </si>
  <si>
    <t>Oro-Oro Ombo</t>
  </si>
  <si>
    <t>Medan</t>
  </si>
  <si>
    <t>Kampung Baru</t>
  </si>
  <si>
    <t>Sumatera Utara</t>
  </si>
  <si>
    <t>Medan Maimun</t>
  </si>
  <si>
    <t>Medan Marelan</t>
  </si>
  <si>
    <t>Terjun</t>
  </si>
  <si>
    <t>Bantuan Hygiene Kit</t>
  </si>
  <si>
    <t>Paya Pasir</t>
  </si>
  <si>
    <t>Padang Tualang</t>
  </si>
  <si>
    <t>Salareh Aia Timur</t>
  </si>
  <si>
    <t>Palembayan</t>
  </si>
  <si>
    <t>Agam</t>
  </si>
  <si>
    <t>Sumatera Barat</t>
  </si>
  <si>
    <t>Sibalanga</t>
  </si>
  <si>
    <t>Adian Koting</t>
  </si>
  <si>
    <t>Tapanuli Utara</t>
  </si>
  <si>
    <t>Paya Bedi</t>
  </si>
  <si>
    <t>Rantau</t>
  </si>
  <si>
    <t>Aceh Tamiang</t>
  </si>
  <si>
    <t>Nangroe Aceh Darussalam</t>
  </si>
  <si>
    <t>Salareh Aia</t>
  </si>
  <si>
    <t>Perdamaian</t>
  </si>
  <si>
    <t>Kota Kuala Simpang</t>
  </si>
  <si>
    <t xml:space="preserve">Aceh Tamiang </t>
  </si>
  <si>
    <t>Bantuan Medis Bencana</t>
  </si>
  <si>
    <t>Kesehatan</t>
  </si>
  <si>
    <t>Karang baru</t>
  </si>
  <si>
    <t>Sekumur</t>
  </si>
  <si>
    <t>Sakerak</t>
  </si>
  <si>
    <t>Pahlawann</t>
  </si>
  <si>
    <t>Simpang Empat</t>
  </si>
  <si>
    <t>Bantuan Air Bersih</t>
  </si>
  <si>
    <t>Kota Lintang Bawah</t>
  </si>
  <si>
    <t>Khitanan Anak</t>
  </si>
  <si>
    <t>Kado Akhir Tahun</t>
  </si>
  <si>
    <t>Ruang Ceria Anak-Anak</t>
  </si>
  <si>
    <t>Balai</t>
  </si>
  <si>
    <t>Bendahara</t>
  </si>
  <si>
    <t>Kebun Rantau</t>
  </si>
  <si>
    <t>Tanjung Mancang</t>
  </si>
  <si>
    <t>Kejuruan Muda</t>
  </si>
  <si>
    <t>Benua Raja</t>
  </si>
  <si>
    <t>Baby Kit</t>
  </si>
  <si>
    <t>Tanah Berongga</t>
  </si>
  <si>
    <t>Payaraman</t>
  </si>
  <si>
    <t>Talang Seleman</t>
  </si>
  <si>
    <t>Respon Bencana (Bantuan Air Bersih)</t>
  </si>
  <si>
    <t>Respon Bencana (Psikososial)</t>
  </si>
  <si>
    <t>Bantuan Al-Qur'an</t>
  </si>
  <si>
    <t>Landuh</t>
  </si>
  <si>
    <t>Bantuan Family Kit</t>
  </si>
  <si>
    <t>Bantuan Tenda Keluarga</t>
  </si>
  <si>
    <t>Durian</t>
  </si>
  <si>
    <t>Bantuan Logistik Sembako</t>
  </si>
  <si>
    <t>Mekarjaya</t>
  </si>
  <si>
    <t>Bantuan Tenda</t>
  </si>
  <si>
    <t>Paya Kulbi</t>
  </si>
  <si>
    <t>Alur Cucur</t>
  </si>
  <si>
    <t>Tanah Terban</t>
  </si>
  <si>
    <t>Marlempang</t>
  </si>
  <si>
    <t>Padang Langgis</t>
  </si>
  <si>
    <t>Seruway</t>
  </si>
  <si>
    <t>Alur Manis</t>
  </si>
  <si>
    <t>Bantuan Boneka</t>
  </si>
  <si>
    <t>Bantuan Mainan</t>
  </si>
  <si>
    <t>PROGRAM RESPON BENCANA (BANTUAN AIR BERSIH)</t>
  </si>
  <si>
    <t>PROGRAM RESPON BENCANA (BANTUAN KESEHATAN)</t>
  </si>
  <si>
    <t>PROGRAM RESPON BENCANA (BANTUAN PANGAN)</t>
  </si>
  <si>
    <t>Bantuan Makanan Sehat</t>
  </si>
  <si>
    <t>Bantuan Snack Ceria</t>
  </si>
  <si>
    <t>Bantuan Ruang Ceria</t>
  </si>
  <si>
    <t>Bantuan Baby Kit</t>
  </si>
  <si>
    <t>PROGRAM RESPON BENCANA (PSIKOSOSIAL)</t>
  </si>
  <si>
    <t>PROGRAM RESPON BENCANA (RECOVERY)</t>
  </si>
  <si>
    <t>Bantuan Bersih-Bersih Rumah</t>
  </si>
  <si>
    <t>Bantuan Penyaluran PLP</t>
  </si>
  <si>
    <t>Rekap Penerima Manfaat Bencana Aceh Berdasarkan Jenis Program</t>
  </si>
  <si>
    <t>Rekap Penerima Manfaat Bencana Sumatera Utara Berdasarkan Jenis Program</t>
  </si>
  <si>
    <t>Rekap PM Bencana Sumatera Utara Berdasarkan Kategori Program &amp; Titik Lokasi</t>
  </si>
  <si>
    <t>Rekap Penerima Manfaat Bencana Sumatera Barat Berdasarkan Jenis Program</t>
  </si>
  <si>
    <t>Rekap PM Bencana Sumatera Barat Berdasarkan Kategori Program &amp; Titik Lokasi</t>
  </si>
  <si>
    <t>Rekap PM Bencana Aceh Berdasarkan Kategori Program &amp; Titik Lokasi</t>
  </si>
  <si>
    <t>Rekap Penerima Manfaat Bencana Jawa Timur Berdasarkan Jenis Program</t>
  </si>
  <si>
    <t>Rekap PM Bencana Jawa Timur Berdasarkan Kategori Program &amp; Titik Lokasi</t>
  </si>
  <si>
    <t>Bantuan Masker</t>
  </si>
  <si>
    <t>Bersih-Bersih Masjid</t>
  </si>
  <si>
    <t>Bantuan Mesin Air &amp; Genset</t>
  </si>
  <si>
    <t>Pantai Tinjau</t>
  </si>
  <si>
    <t>Sekerak</t>
  </si>
  <si>
    <t>Kebun Tanjung Seumantoh</t>
  </si>
  <si>
    <t>Bantuan Pembangunan Musholla Darurat</t>
  </si>
  <si>
    <t>Rongoh</t>
  </si>
  <si>
    <t>Tamiang Hulu</t>
  </si>
  <si>
    <t>Sukajadi Paya Bujuk</t>
  </si>
  <si>
    <t>Sungai Liput</t>
  </si>
  <si>
    <t>Bantuan Pembangunan Sumur Bor</t>
  </si>
  <si>
    <t>Umah Taring</t>
  </si>
  <si>
    <t>Serba Jadi</t>
  </si>
  <si>
    <t>Aceh Timur</t>
  </si>
  <si>
    <t>Lokop</t>
  </si>
  <si>
    <t>Bantuan Perlengkapan Tidur</t>
  </si>
  <si>
    <t>Bantuan Perlengkapan Ibadah</t>
  </si>
  <si>
    <t>Sekerak Kanan</t>
  </si>
  <si>
    <t>Bantuan Filter Air</t>
  </si>
  <si>
    <t>Sukajadi</t>
  </si>
  <si>
    <t>Bandar Mulia</t>
  </si>
  <si>
    <t>Dalam</t>
  </si>
  <si>
    <t>KELURAHAN / DESA</t>
  </si>
  <si>
    <t>Purwodadi</t>
  </si>
  <si>
    <t>Tanjung Seumantoh</t>
  </si>
  <si>
    <t>Bantuan Tedmond Air</t>
  </si>
  <si>
    <t>Sampaimah</t>
  </si>
  <si>
    <t>Manyak Payed</t>
  </si>
  <si>
    <t>Alur Tani I</t>
  </si>
  <si>
    <t>Bantuan Pengajaran Agama</t>
  </si>
  <si>
    <t>Bandar Mahligai</t>
  </si>
  <si>
    <t>Alur Nunang</t>
  </si>
  <si>
    <t>Peringatan Isra' Mi'raj</t>
  </si>
  <si>
    <t>Blang Kandis</t>
  </si>
  <si>
    <t>Bandar Pusaka</t>
  </si>
  <si>
    <t>Hadiah Sembako</t>
  </si>
  <si>
    <t>Bantuan Bersih-Bersih Masjid</t>
  </si>
  <si>
    <t>Bantuan Filter Air bersih</t>
  </si>
  <si>
    <t>Bantuan Al-Qur'an &amp; Iqra'</t>
  </si>
  <si>
    <t>Gathering Relawan</t>
  </si>
  <si>
    <t>Beras Fidyah</t>
  </si>
  <si>
    <t>Muara Penimbung Ilir</t>
  </si>
  <si>
    <t>Berbagi Sahur</t>
  </si>
  <si>
    <t>Berbagi Buka Puasa</t>
  </si>
  <si>
    <t>Berbagi Takjil</t>
  </si>
  <si>
    <t>Masjid Clean Up &amp; Air Mineral Masjid</t>
  </si>
  <si>
    <t>Talang Aur</t>
  </si>
  <si>
    <t>Tanjung Seteko</t>
  </si>
  <si>
    <t>Pesantren Ramadhan</t>
  </si>
  <si>
    <t>Sungai Kedukan</t>
  </si>
  <si>
    <t>Rambutan</t>
  </si>
  <si>
    <t>Belanja Santri</t>
  </si>
  <si>
    <t>Ulak Bedil</t>
  </si>
  <si>
    <t>Rekap Impelementasi Program Satu Amal Indonesia Bulan Maret 2026</t>
  </si>
  <si>
    <t>https://maps.app.goo.gl/5nDFuH2mc3VS4sne8</t>
  </si>
  <si>
    <t>Masjid Al-Fatah Palembang</t>
  </si>
  <si>
    <t>Tim Event</t>
  </si>
  <si>
    <t>https://maps.app.goo.gl/KxcgZNth3f3687YK9</t>
  </si>
  <si>
    <t>Kota Palembang</t>
  </si>
  <si>
    <t>Nasi Kotak</t>
  </si>
  <si>
    <t>Tim Charity</t>
  </si>
  <si>
    <t>https://maps.app.goo.gl/mGVeyoB64wp4yd3Y9</t>
  </si>
  <si>
    <t>Masjid Jami' Plaju</t>
  </si>
  <si>
    <t>Nasi Prasmanan</t>
  </si>
  <si>
    <t>Aufa &amp; Tim</t>
  </si>
  <si>
    <t>500 Pempek</t>
  </si>
  <si>
    <t>https://maps.app.goo.gl/s6DgtvfgnjNSrzWAA</t>
  </si>
  <si>
    <t>https://maps.app.goo.gl/65px8k8syG1SNhYD9</t>
  </si>
  <si>
    <t>Kampung Sungai Ijuk</t>
  </si>
  <si>
    <t>https://maps.app.goo.gl/RWuaaWqXtAopiwyCA</t>
  </si>
  <si>
    <t>Kampung 9/10 Ulu</t>
  </si>
  <si>
    <t>250 Pempek</t>
  </si>
  <si>
    <t>250 pempek</t>
  </si>
  <si>
    <t>https://maps.app.goo.gl/RZ48guw8fByVrt5v7</t>
  </si>
  <si>
    <t>Sekretariat Satu Amal Indonesia</t>
  </si>
  <si>
    <t>CKL</t>
  </si>
  <si>
    <t>RYC</t>
  </si>
  <si>
    <t>https://maps.app.goo.gl/GAUzH5M8gzbqXzxp9</t>
  </si>
  <si>
    <t>Kampung Sungai Pedado</t>
  </si>
  <si>
    <t>https://maps.app.goo.gl/uWDWDgF8z7FAXJLz5</t>
  </si>
  <si>
    <t>TPA 2 Karya Jaya</t>
  </si>
  <si>
    <t>Nasi Bungkus</t>
  </si>
  <si>
    <t>RBC</t>
  </si>
  <si>
    <t>SPS</t>
  </si>
  <si>
    <t>Indralaya Indah</t>
  </si>
  <si>
    <t>https://maps.app.goo.gl/Lne1qbKYTMe4rA786</t>
  </si>
  <si>
    <t>TPA Nurul Persada</t>
  </si>
  <si>
    <t>Al-Qur'an</t>
  </si>
  <si>
    <t>Tim Ogan Ilir</t>
  </si>
  <si>
    <t>https://maps.app.goo.gl/KBBC3m5CwmJfm6WA6</t>
  </si>
  <si>
    <t>TPA Al-Khoiriyah</t>
  </si>
  <si>
    <t>https://maps.app.goo.gl/AmPNFoTxhuD83hSa8</t>
  </si>
  <si>
    <t>Ma'had Tahfidz Qur'an Darussalam</t>
  </si>
  <si>
    <t>Rumah Tahfidz Al-Amal</t>
  </si>
  <si>
    <t>Tim RTA</t>
  </si>
  <si>
    <t>https://maps.app.goo.gl/iSjQqyHnWSGNdpWH6</t>
  </si>
  <si>
    <t>TPA Al-Fattah</t>
  </si>
  <si>
    <t>https://maps.app.goo.gl/wh8VkT8ceMSHc57UA</t>
  </si>
  <si>
    <t>TPA Ghaniyum Hamid</t>
  </si>
  <si>
    <t>https://maps.app.goo.gl/ikHbkMVv3M9mfYQ99</t>
  </si>
  <si>
    <t>Masjid Jami' Gandus</t>
  </si>
  <si>
    <t>Clean Up &amp; Air Mineral</t>
  </si>
  <si>
    <t>Tim MCU</t>
  </si>
  <si>
    <t>https://maps.app.goo.gl/iX7Ap69pscWibFR59</t>
  </si>
  <si>
    <t>Simpang Polda</t>
  </si>
  <si>
    <t>https://maps.app.goo.gl/Pt6TT1fqy8R2xBC49</t>
  </si>
  <si>
    <t>Dekranasda, Anjungan Muba</t>
  </si>
  <si>
    <t>Sembako mini</t>
  </si>
  <si>
    <t>https://maps.app.goo.gl/cFHAsF9LJ6s22gdM6</t>
  </si>
  <si>
    <t>Ponpes Hamalatul Qur'an</t>
  </si>
  <si>
    <t>70 Kg Beras</t>
  </si>
  <si>
    <t>https://maps.app.goo.gl/2GVjBZ4HAu18Jguz8</t>
  </si>
  <si>
    <t>Ponpes Cahaya Qolbu</t>
  </si>
  <si>
    <t>40 Kg Beras</t>
  </si>
  <si>
    <t>https://maps.app.goo.gl/Qjotz7GJzepCHGvW7</t>
  </si>
  <si>
    <t>Ponpes Al-Ghozaliah</t>
  </si>
  <si>
    <t>Ponpes Ki Merogan</t>
  </si>
  <si>
    <t>Masyarakat Kampung Sungai pedado</t>
  </si>
  <si>
    <t>https://maps.app.goo.gl/SSinNo7bSYUVRK438</t>
  </si>
  <si>
    <t>https://maps.app.goo.gl/5A5ZfdNCBUhwStGu8</t>
  </si>
  <si>
    <t>50 Kg Beras</t>
  </si>
  <si>
    <t>Masjid Al-Muawanah</t>
  </si>
  <si>
    <t>Mbak Bella &amp; Tim RTA</t>
  </si>
  <si>
    <t>Air Bersih</t>
  </si>
  <si>
    <t>Masyarakat Simpang Polda</t>
  </si>
  <si>
    <t>Kak bah &amp; Tim OI</t>
  </si>
  <si>
    <t>Maura &amp; Tim</t>
  </si>
  <si>
    <t>Takjil</t>
  </si>
  <si>
    <t>Tim Galang Dana</t>
  </si>
  <si>
    <t>https://maps.app.goo.gl/5ZNXoz1XGDM2tqGe9</t>
  </si>
  <si>
    <t>Belanja Bareng Yatim Dhuafa</t>
  </si>
  <si>
    <t>https://maps.app.goo.gl/FkJXdFaeLopiQeRe6</t>
  </si>
  <si>
    <t>Matahari PsX</t>
  </si>
  <si>
    <t>Pakaian Hari Raya</t>
  </si>
  <si>
    <t>Seluruh</t>
  </si>
  <si>
    <t>https://maps.app.goo.gl/mbsK6M3CeuTPQKEo8</t>
  </si>
  <si>
    <t>Tim Pesantren</t>
  </si>
  <si>
    <t>SD IT Kamiliyah</t>
  </si>
  <si>
    <t>https://maps.app.goo.gl/ghuoVRMhkSDirnKL9</t>
  </si>
  <si>
    <t>SD Negeri 05 Palembang</t>
  </si>
  <si>
    <t>SD Negeri 04 Palembang</t>
  </si>
  <si>
    <t>https://maps.app.goo.gl/qsxvsxH7CbbmbXmS6</t>
  </si>
  <si>
    <t>SD Negeri  216 Palembang</t>
  </si>
  <si>
    <t>https://maps.app.goo.gl/35ekm2xo6pC2fVQs7</t>
  </si>
  <si>
    <t>SD Negeri 204 Palembang</t>
  </si>
  <si>
    <t>https://maps.app.goo.gl/79abFKgmyhEYzeh59</t>
  </si>
  <si>
    <t>https://maps.app.goo.gl/MgSauxfikcjrPTsS6</t>
  </si>
  <si>
    <t>Klinik Pijat Urut Tuna Netra</t>
  </si>
  <si>
    <t>https://maps.app.goo.gl/n5hxb8KBKj5g5FB18</t>
  </si>
  <si>
    <t>TPA Jamiatul Quro'</t>
  </si>
  <si>
    <t>https://maps.app.goo.gl/fsYptcWT5CDo3NEX7</t>
  </si>
  <si>
    <t>TPA Masruroh</t>
  </si>
  <si>
    <t>50 Sembako mini</t>
  </si>
  <si>
    <t>Beras Zakat</t>
  </si>
  <si>
    <t>-</t>
  </si>
  <si>
    <t>Kota Palembang &amp; Indralaya ( 3 Titik)</t>
  </si>
  <si>
    <t>520 Kg Beras</t>
  </si>
  <si>
    <t>Bantuan Berbagi Buka Puasa</t>
  </si>
  <si>
    <t>Bantuan Belanja Bareng Lansia</t>
  </si>
  <si>
    <t>Bantuan Belanja Bareng Yatim Dhuafa</t>
  </si>
  <si>
    <t>Bantuan Sembako Guru Ngaji</t>
  </si>
  <si>
    <t>Musjholla Nurul Huda, Desa Balai</t>
  </si>
  <si>
    <t>https://maps.app.goo.gl/9tDdFQXzy8LHCCW4A</t>
  </si>
  <si>
    <t>Tim Aceh</t>
  </si>
  <si>
    <t>Makan Berbuka</t>
  </si>
  <si>
    <t>Bantuan Sumur Bor</t>
  </si>
  <si>
    <t>Indomart SPBU Kuala Simpang</t>
  </si>
  <si>
    <t>Dusun Paya Batu</t>
  </si>
  <si>
    <t>https://maps.app.goo.gl/CRuieVJk64mY5EnF8</t>
  </si>
  <si>
    <t>https://maps.app.goo.gl/jDD8NSF1dGn66e6T9</t>
  </si>
  <si>
    <t>Zonria, Kuala Simpang</t>
  </si>
  <si>
    <t>Desa Alur Permai</t>
  </si>
  <si>
    <t>https://maps.app.goo.gl/vFykKMwEBX4g2Rgu7</t>
  </si>
  <si>
    <t>https://maps.app.goo.gl/wnN7nUskSabpSR8n6</t>
  </si>
  <si>
    <t>Sembako Lansia</t>
  </si>
  <si>
    <t>https://maps.app.goo.gl/5JYp11QWtcRy29WC7</t>
  </si>
  <si>
    <t>TPQ Bustanul Quran, Kampung Durian</t>
  </si>
  <si>
    <t>Sembako</t>
  </si>
  <si>
    <t>Nama Kelurahan</t>
  </si>
  <si>
    <t>Resapan Kelurahan</t>
  </si>
  <si>
    <t>Kuantitas</t>
  </si>
  <si>
    <t>Bebagi Takjil</t>
  </si>
  <si>
    <t>PROGRAM LINGKUNGAN</t>
  </si>
  <si>
    <t>PROGRAM SYIAR &amp; DAKWAH</t>
  </si>
  <si>
    <t>Rekap Sebaran Maret</t>
  </si>
  <si>
    <t>Lokasi Program</t>
  </si>
  <si>
    <t>Sasaran</t>
  </si>
  <si>
    <t>Kota Palembang, Plaju</t>
  </si>
  <si>
    <t>Kota Palembang, Kertapati</t>
  </si>
  <si>
    <t>Kota Lunjuk Jaya</t>
  </si>
  <si>
    <t>Jemaah Masjid Al-Fatah Palembang</t>
  </si>
  <si>
    <t>Data Titik Lokasi Serapan Maret (Palembang)</t>
  </si>
  <si>
    <t>Ulak bedil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</si>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</sst>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i/>
      <sz val="12"/>
      <color theme="1"/>
      <name val="Calibri"/>
      <family val="2"/>
      <scheme val="minor"/>
    </font>
    <font>
      <b/>
      <i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6"/>
      <color indexed="8"/>
      <name val="Calibri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1" fillId="0" borderId="0" xfId="0" applyFont="1"/>
    <xf numFmtId="0" fontId="0" fillId="0" borderId="5" xfId="0" applyBorder="1"/>
    <xf numFmtId="0" fontId="7" fillId="2" borderId="1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2" fillId="0" borderId="15" xfId="0" applyFont="1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vertical="top" wrapText="1"/>
    </xf>
    <xf numFmtId="0" fontId="12" fillId="0" borderId="0" xfId="0" applyFont="1"/>
    <xf numFmtId="0" fontId="12" fillId="0" borderId="0" xfId="0" applyFont="1" applyAlignment="1">
      <alignment horizontal="center"/>
    </xf>
    <xf numFmtId="0" fontId="7" fillId="0" borderId="4" xfId="0" applyFont="1" applyBorder="1" applyAlignment="1">
      <alignment horizontal="center"/>
    </xf>
    <xf numFmtId="0" fontId="0" fillId="0" borderId="15" xfId="0" applyBorder="1" applyAlignment="1">
      <alignment horizontal="left" wrapText="1"/>
    </xf>
    <xf numFmtId="0" fontId="7" fillId="0" borderId="2" xfId="0" applyFont="1" applyBorder="1" applyAlignment="1">
      <alignment horizontal="center"/>
    </xf>
    <xf numFmtId="0" fontId="12" fillId="0" borderId="14" xfId="0" applyFont="1" applyBorder="1" applyAlignment="1">
      <alignment horizontal="left" wrapText="1"/>
    </xf>
    <xf numFmtId="0" fontId="0" fillId="0" borderId="5" xfId="0" applyBorder="1" applyAlignment="1">
      <alignment horizontal="center" wrapText="1"/>
    </xf>
    <xf numFmtId="0" fontId="0" fillId="0" borderId="12" xfId="0" applyBorder="1" applyAlignment="1">
      <alignment horizontal="center"/>
    </xf>
    <xf numFmtId="0" fontId="13" fillId="0" borderId="0" xfId="0" applyFont="1" applyAlignment="1">
      <alignment horizontal="center"/>
    </xf>
    <xf numFmtId="0" fontId="0" fillId="0" borderId="15" xfId="0" applyBorder="1"/>
    <xf numFmtId="164" fontId="0" fillId="0" borderId="0" xfId="0" applyNumberFormat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5" fillId="0" borderId="1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0" fillId="0" borderId="3" xfId="0" applyBorder="1"/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5" fillId="0" borderId="1" xfId="1" applyFill="1" applyBorder="1" applyAlignment="1">
      <alignment vertical="center" wrapText="1"/>
    </xf>
    <xf numFmtId="0" fontId="1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0" xfId="0" applyFont="1" applyBorder="1"/>
    <xf numFmtId="0" fontId="1" fillId="0" borderId="5" xfId="0" applyFont="1" applyBorder="1"/>
    <xf numFmtId="0" fontId="0" fillId="0" borderId="5" xfId="0" applyBorder="1" applyAlignment="1">
      <alignment horizontal="left" vertical="center"/>
    </xf>
    <xf numFmtId="0" fontId="8" fillId="0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0" xfId="0" applyFont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6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 wrapText="1"/>
    </xf>
    <xf numFmtId="0" fontId="9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16" fillId="0" borderId="4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0" fillId="0" borderId="1" xfId="0" applyBorder="1" applyAlignment="1">
      <alignment horizontal="left" vertical="top" wrapText="1"/>
    </xf>
    <xf numFmtId="0" fontId="12" fillId="0" borderId="1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20" fillId="0" borderId="2" xfId="0" applyFont="1" applyBorder="1" applyAlignment="1">
      <alignment horizontal="left"/>
    </xf>
    <xf numFmtId="0" fontId="21" fillId="0" borderId="3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2" fillId="0" borderId="9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29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z val="12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z val="12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z val="12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z val="12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vertical="center" textRotation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border outline="0">
        <right style="thin">
          <color indexed="64"/>
        </right>
        <top style="thin">
          <color indexed="64"/>
        </top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border outline="0">
        <right style="thin">
          <color indexed="64"/>
        </right>
        <top style="thin">
          <color indexed="64"/>
        </top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border outline="0">
        <right style="thin">
          <color indexed="64"/>
        </right>
        <top style="thin">
          <color indexed="64"/>
        </top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border outline="0">
        <right style="thin">
          <color indexed="64"/>
        </right>
        <top style="thin">
          <color indexed="64"/>
        </top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none">
          <bgColor auto="1"/>
        </patternFill>
      </fill>
      <border outline="0">
        <left style="thin">
          <color indexed="64"/>
        </left>
      </border>
    </dxf>
    <dxf>
      <fill>
        <patternFill patternType="none">
          <bgColor auto="1"/>
        </patternFill>
      </fill>
      <alignment horizontal="center" textRotation="0" indent="0" justifyLastLine="0" shrinkToFit="0" readingOrder="0"/>
      <border outline="0">
        <left style="thin">
          <color indexed="64"/>
        </left>
      </border>
    </dxf>
    <dxf>
      <fill>
        <patternFill patternType="none">
          <bgColor auto="1"/>
        </patternFill>
      </fill>
      <alignment horizontal="left" textRotation="0" indent="0" justifyLastLine="0" shrinkToFit="0" readingOrder="0"/>
      <border outline="0">
        <right style="thin">
          <color indexed="64"/>
        </right>
      </border>
    </dxf>
    <dxf>
      <fill>
        <patternFill patternType="none">
          <bgColor auto="1"/>
        </patternFill>
      </fill>
      <border outline="0">
        <right style="thin">
          <color indexed="64"/>
        </right>
      </border>
    </dxf>
    <dxf>
      <border outline="0">
        <right style="thin">
          <color indexed="64"/>
        </right>
        <top style="thin">
          <color indexed="64"/>
        </top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z val="12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z val="12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z val="12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z val="12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vertical="center" textRotation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3D4A9A-ABCF-4569-B97A-1B18EC6943D9}" name="Table1" displayName="Table1" ref="B4:O67" totalsRowShown="0" headerRowDxfId="271" dataDxfId="269" headerRowBorderDxfId="270" tableBorderDxfId="268" totalsRowBorderDxfId="267">
  <autoFilter ref="B4:O67" xr:uid="{8C3D4A9A-ABCF-4569-B97A-1B18EC6943D9}"/>
  <sortState xmlns:xlrd2="http://schemas.microsoft.com/office/spreadsheetml/2017/richdata2" ref="B5:O67">
    <sortCondition ref="C4:C67"/>
  </sortState>
  <tableColumns count="14">
    <tableColumn id="1" xr3:uid="{CA2A1646-F9DD-4E0D-B4B8-DBB631EE6BF2}" name="NO" dataDxfId="266">
      <calculatedColumnFormula>IF(Table1[[#This Row],[TANGGAL]]="","",ROW(N1))</calculatedColumnFormula>
    </tableColumn>
    <tableColumn id="2" xr3:uid="{DC0F99CE-0493-41DF-8597-B588A6129EBF}" name="TANGGAL" dataDxfId="265"/>
    <tableColumn id="3" xr3:uid="{3CF7B29E-8E9A-4752-A3B4-7147ED1A8680}" name="NAMA PROGRAM" dataDxfId="264"/>
    <tableColumn id="4" xr3:uid="{CC5786EB-4078-4086-9743-28C503E2EF0F}" name="KATEGORI PROGRAM" dataDxfId="263">
      <calculatedColumnFormula>INDEX(Table5[KATEGORI PROGRAM],MATCH(Table1[[#This Row],[NAMA PROGRAM]],Table5[NAMA PROGRAM],0))</calculatedColumnFormula>
    </tableColumn>
    <tableColumn id="7" xr3:uid="{199BF700-95D6-4EA1-9849-CD40DC65676C}" name="TITIK MAPS" dataDxfId="262"/>
    <tableColumn id="13" xr3:uid="{09F2370F-33EE-4597-9D37-7538296F213A}" name="Nama Lokasi Program" dataDxfId="261"/>
    <tableColumn id="5" xr3:uid="{4F85B288-174F-4BD7-A77A-61A2569286D2}" name="KELURAHAN / DESA" dataDxfId="260"/>
    <tableColumn id="11" xr3:uid="{B4DBA286-0907-47AD-8F56-9B9BED9F575C}" name="KECAMATAN" dataDxfId="259">
      <calculatedColumnFormula>INDEX(Table2[Kecamatan],MATCH(Table1[[#This Row],[KELURAHAN / DESA]],Table2[Kelurahan],0))</calculatedColumnFormula>
    </tableColumn>
    <tableColumn id="10" xr3:uid="{B565D24E-744C-4918-BFB6-2598F6025239}" name="KAB./KOTA" dataDxfId="258">
      <calculatedColumnFormula>INDEX(Table2[Kabupaten/Kota],MATCH(Table1[[#This Row],[KECAMATAN]],Table2[Kecamatan],0))</calculatedColumnFormula>
    </tableColumn>
    <tableColumn id="12" xr3:uid="{E8EF9F54-BEE4-4C6D-899A-E7E04F974D44}" name="PROVINSI" dataDxfId="257">
      <calculatedColumnFormula>INDEX(Table2[Provinsi],MATCH(Table1[[#This Row],[KAB./KOTA]],Table2[Kabupaten/Kota],0))</calculatedColumnFormula>
    </tableColumn>
    <tableColumn id="6" xr3:uid="{E1D4CCF8-1124-4789-A587-020E7377EA12}" name="JUMLAH PM" dataDxfId="256"/>
    <tableColumn id="9" xr3:uid="{E8356213-EC58-44FA-B674-54D99131C7C3}" name="BENTUK BANTUAN" dataDxfId="255"/>
    <tableColumn id="8" xr3:uid="{6CDB8469-5EE4-4463-94A5-B59B238839BB}" name="PJ TIM" dataDxfId="254"/>
    <tableColumn id="14" xr3:uid="{7FE6B209-79B4-48DF-88F7-FAAA18860FE0}" name="Sasaran PM" dataDxfId="25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31C5DF-1E9D-4DD3-9D48-D08C4B08A5B9}" name="Table14" displayName="Table14" ref="G4:J12" totalsRowShown="0" headerRowDxfId="252" headerRowBorderDxfId="251" tableBorderDxfId="250" totalsRowBorderDxfId="249">
  <autoFilter ref="G4:J12" xr:uid="{D631C5DF-1E9D-4DD3-9D48-D08C4B08A5B9}"/>
  <tableColumns count="4">
    <tableColumn id="1" xr3:uid="{4E9D14AA-ED5C-43A9-B103-427721A99EED}" name="PROGRAM PENDIDIKAN" dataDxfId="248"/>
    <tableColumn id="2" xr3:uid="{6FAFEF02-A8D2-4C0D-A7E0-A4A6E4E6ED52}" name="Pelaksanaan" dataDxfId="247"/>
    <tableColumn id="3" xr3:uid="{06D4FD6C-8121-41A5-B1AA-D3C869905420}" name="Jumlah PM" dataDxfId="246"/>
    <tableColumn id="4" xr3:uid="{A40AEC66-1FC0-41F9-99C1-5440873B1B4A}" name="Jumlah Titik Lokasi" dataDxfId="24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40E78A8-244A-4DC6-9E22-9D88ABA6C115}" name="Table25" displayName="Table25" ref="G14:J23" totalsRowShown="0" headerRowDxfId="244" headerRowBorderDxfId="243" tableBorderDxfId="242" totalsRowBorderDxfId="241">
  <autoFilter ref="G14:J23" xr:uid="{F40E78A8-244A-4DC6-9E22-9D88ABA6C115}"/>
  <tableColumns count="4">
    <tableColumn id="1" xr3:uid="{3FFD7ECF-9429-4C78-AA48-4FD1C4AAA01D}" name="PROGRAM PANGAN" dataDxfId="240"/>
    <tableColumn id="2" xr3:uid="{ACF6D071-960F-4293-9CBF-BA1C40E12225}" name="Pelaksanaan" dataDxfId="239"/>
    <tableColumn id="3" xr3:uid="{44489975-4147-4ED8-81C7-6FCC3DBDDBD9}" name="Jumlah PM" dataDxfId="238"/>
    <tableColumn id="4" xr3:uid="{CE2B0F2B-A09F-4A07-80DE-9B9B51134F6E}" name="Jumlah Titik Lokasi" dataDxfId="23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9413B87-07BE-4D71-BC89-2BC425E66338}" name="Table3" displayName="Table3" ref="G25:J26" totalsRowShown="0" headerRowDxfId="236" headerRowBorderDxfId="235" tableBorderDxfId="234" totalsRowBorderDxfId="233">
  <autoFilter ref="G25:J26" xr:uid="{69413B87-07BE-4D71-BC89-2BC425E66338}"/>
  <tableColumns count="4">
    <tableColumn id="1" xr3:uid="{6A34EE66-335F-433F-96CC-9F07CCE4DFF5}" name="PROGRAM PEMBERDAYAAN " dataDxfId="232"/>
    <tableColumn id="2" xr3:uid="{AE33D9EE-3EE9-4BB3-8B29-E87D48ED8431}" name="Pelaksanaan" dataDxfId="231"/>
    <tableColumn id="3" xr3:uid="{58EE7429-296A-4FC3-8213-157B529DF573}" name="Jumlah PM" dataDxfId="230"/>
    <tableColumn id="4" xr3:uid="{82CABDD2-990A-46C6-98B1-F81984333C98}" name="Jumlah Titik Lokasi" dataDxfId="22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2DD78F6-E77C-4667-9EE8-5BE7E9D99D4A}" name="Table4" displayName="Table4" ref="G28:J32" totalsRowShown="0" headerRowDxfId="228" headerRowBorderDxfId="227" tableBorderDxfId="226" totalsRowBorderDxfId="225">
  <autoFilter ref="G28:J32" xr:uid="{B2DD78F6-E77C-4667-9EE8-5BE7E9D99D4A}"/>
  <tableColumns count="4">
    <tableColumn id="1" xr3:uid="{405DCB4B-4A87-4FAF-BC8B-87409635E6D9}" name="PROGRAM EVENT SOSIAL"/>
    <tableColumn id="2" xr3:uid="{93085146-072F-4C90-9242-4C78ECBC847F}" name="Pelaksanaan"/>
    <tableColumn id="3" xr3:uid="{6D3F1592-8E4D-4982-8B03-229DBCFF148E}" name="Jumlah PM"/>
    <tableColumn id="4" xr3:uid="{CCA8C113-5E90-4516-8EEF-DFECCF263993}" name="Jumlah Titik Lokasi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412272C-4485-4866-94BE-A72664BB283A}" name="Table12" displayName="Table12" ref="B4:E31" totalsRowShown="0" headerRowDxfId="224" dataDxfId="222" headerRowBorderDxfId="223" tableBorderDxfId="221">
  <autoFilter ref="B4:E31" xr:uid="{A412272C-4485-4866-94BE-A72664BB283A}"/>
  <tableColumns count="4">
    <tableColumn id="1" xr3:uid="{9D0AD769-1098-4DB2-B0FE-24E780B70119}" name="No" dataDxfId="220">
      <calculatedColumnFormula>IF(Table12[[#Headers],[Nama Program]]="","",ROW(F1))</calculatedColumnFormula>
    </tableColumn>
    <tableColumn id="2" xr3:uid="{FE5FD35B-660E-42AC-850C-6F00F349A1B2}" name="Nama Program" dataDxfId="219"/>
    <tableColumn id="3" xr3:uid="{D9A3D539-9853-4E00-BCA0-D645EBBF5C0C}" name="Jumlah Pelaksanaan" dataDxfId="218"/>
    <tableColumn id="4" xr3:uid="{C94FBEA9-A7A2-4E4D-8A3B-56364AD1C0A4}" name="Jumlah PM" dataDxfId="217"/>
  </tableColumns>
  <tableStyleInfo name="TableStyleLight2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7F5F9A4-3851-48CF-A334-DABBFE5D58F8}" name="Table51011" displayName="Table51011" ref="G34:J36" totalsRowShown="0" headerRowDxfId="216" headerRowBorderDxfId="215" tableBorderDxfId="214" totalsRowBorderDxfId="213">
  <autoFilter ref="G34:J36" xr:uid="{A7F5F9A4-3851-48CF-A334-DABBFE5D58F8}"/>
  <tableColumns count="4">
    <tableColumn id="1" xr3:uid="{4B3A151F-F2B2-4863-93C0-35CC0CD78F1D}" name="PROGRAM LINGKUNGAN" dataDxfId="212"/>
    <tableColumn id="2" xr3:uid="{80DFB52A-86D6-4EC7-8DDC-ECE1249CB4A3}" name="Pelaksanaan" dataDxfId="211"/>
    <tableColumn id="3" xr3:uid="{DF47EBD1-71AB-4584-BE00-D81143666216}" name="Jumlah PM" dataDxfId="210"/>
    <tableColumn id="4" xr3:uid="{0CEB0906-16BB-489F-8421-06B922286DD0}" name="Jumlah Titik Lokasi" dataDxfId="20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7876D07-8A33-452A-8176-89B4897ACE77}" name="Table5101115161718" displayName="Table5101115161718" ref="G46:J49" totalsRowShown="0" headerRowDxfId="208" headerRowBorderDxfId="207" tableBorderDxfId="206" totalsRowBorderDxfId="205">
  <autoFilter ref="G46:J49" xr:uid="{C7876D07-8A33-452A-8176-89B4897ACE77}"/>
  <tableColumns count="4">
    <tableColumn id="1" xr3:uid="{21C3D0BF-E4A2-4D2F-BFAB-DD64DDDF3176}" name="PROGRAM SYIAR &amp; DAKWAH" dataDxfId="204"/>
    <tableColumn id="2" xr3:uid="{999D826F-A5A5-44B7-82CA-F42BF02EBC9D}" name="Pelaksanaan" dataDxfId="203"/>
    <tableColumn id="3" xr3:uid="{73F74BC6-C23F-44D1-890B-6EC6B6808F13}" name="Jumlah PM" dataDxfId="202"/>
    <tableColumn id="4" xr3:uid="{E0B2ACE3-32C2-4CAB-82F6-BEA6A08DE8DA}" name="Jumlah Titik Lokasi" dataDxfId="20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2F6C532-AF03-4B1C-95C5-655A7DCF7428}" name="Table51011151617" displayName="Table51011151617" ref="G38:J44" totalsRowShown="0" headerRowDxfId="200" headerRowBorderDxfId="199" tableBorderDxfId="198" totalsRowBorderDxfId="197">
  <autoFilter ref="G38:J44" xr:uid="{E2F6C532-AF03-4B1C-95C5-655A7DCF7428}"/>
  <tableColumns count="4">
    <tableColumn id="1" xr3:uid="{8BEB9E34-849A-4137-8458-B7AB839F5D8B}" name="PROGRAM RESPON BENCANA (RECOVERY)" dataDxfId="196"/>
    <tableColumn id="2" xr3:uid="{8CE51D0C-5870-446F-86FA-3A7DF12F33C8}" name="Pelaksanaan" dataDxfId="195"/>
    <tableColumn id="3" xr3:uid="{47F1B611-12B3-4439-9D47-188B40C55136}" name="Jumlah PM" dataDxfId="194"/>
    <tableColumn id="4" xr3:uid="{7536AC27-B36A-42F2-9DFB-E90D67B37D32}" name="Jumlah Titik Lokasi" dataDxfId="19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1844D24-3E2B-4D3C-BC42-993A5C010B66}" name="Table12241019" displayName="Table12241019" ref="B4:E29" totalsRowShown="0" headerRowDxfId="192" dataDxfId="190" headerRowBorderDxfId="191" tableBorderDxfId="189">
  <autoFilter ref="B4:E29" xr:uid="{81844D24-3E2B-4D3C-BC42-993A5C010B66}"/>
  <tableColumns count="4">
    <tableColumn id="1" xr3:uid="{C177AA0E-C784-46E8-A0C7-99A3D47BC4D2}" name="No" dataDxfId="188">
      <calculatedColumnFormula>IF(Table12241019[[#Headers],[Nama Program]]="","",ROW(F1))</calculatedColumnFormula>
    </tableColumn>
    <tableColumn id="2" xr3:uid="{123C0810-5DA2-4682-9233-2B4FAA8DD53D}" name="Nama Program" dataDxfId="187"/>
    <tableColumn id="3" xr3:uid="{46030B38-AC03-44A6-A8D7-F562D61880B9}" name="Jumlah Pelaksanaan" dataDxfId="186"/>
    <tableColumn id="4" xr3:uid="{29573984-D6CE-4335-95A6-C1841076BE2D}" name="Jumlah PM" dataDxfId="185"/>
  </tableColumns>
  <tableStyleInfo name="TableStyleLight2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BA38A79-35CD-4C19-BC40-208AD8E8EF8D}" name="Table51011253720" displayName="Table51011253720" ref="C38:E41" totalsRowShown="0" headerRowDxfId="184" headerRowBorderDxfId="183" tableBorderDxfId="182" totalsRowBorderDxfId="181">
  <autoFilter ref="C38:E41" xr:uid="{8BA38A79-35CD-4C19-BC40-208AD8E8EF8D}"/>
  <tableColumns count="3">
    <tableColumn id="1" xr3:uid="{F715968A-0DEE-4FA5-A4B6-5F19953884AF}" name="PROGRAM RESPON BENCANA (BANTUAN AIR BERSIH)" dataDxfId="180"/>
    <tableColumn id="2" xr3:uid="{A7C3658E-C343-433E-826F-58E0C131B4AD}" name="Pelaksanaan" dataDxfId="179"/>
    <tableColumn id="3" xr3:uid="{D0FB16AF-F322-47E5-B3AD-46421E6E883C}" name="Jumlah PM" dataDxfId="178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C65C84A-B12C-4FE4-AAD3-39EA6486DABE}" name="Table5101115264221" displayName="Table5101115264221" ref="C43:E46" totalsRowShown="0" headerRowDxfId="177" headerRowBorderDxfId="176" tableBorderDxfId="175" totalsRowBorderDxfId="174">
  <autoFilter ref="C43:E46" xr:uid="{8C65C84A-B12C-4FE4-AAD3-39EA6486DABE}"/>
  <tableColumns count="3">
    <tableColumn id="1" xr3:uid="{E12E7373-48DE-4091-A205-4EC7FE9B934A}" name="PROGRAM RESPON BENCANA (BANTUAN KESEHATAN)" dataDxfId="173"/>
    <tableColumn id="2" xr3:uid="{70C74F91-6E9B-4AB2-8B4E-2869EFEEDD05}" name="Pelaksanaan" dataDxfId="172"/>
    <tableColumn id="3" xr3:uid="{0FC1DB72-81C1-4193-B94C-3F218A3E2081}" name="Jumlah PM" dataDxfId="171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B268867F-8780-4089-8BF7-D74F48AF53FB}" name="Table510111516274322" displayName="Table510111516274322" ref="C48:E51" totalsRowShown="0" headerRowDxfId="170" headerRowBorderDxfId="169" tableBorderDxfId="168" totalsRowBorderDxfId="167">
  <autoFilter ref="C48:E51" xr:uid="{B268867F-8780-4089-8BF7-D74F48AF53FB}"/>
  <tableColumns count="3">
    <tableColumn id="1" xr3:uid="{F3F70A62-5B90-4360-94AF-44213DA87440}" name="PROGRAM RESPON BENCANA (BANTUAN PANGAN)" dataDxfId="166"/>
    <tableColumn id="2" xr3:uid="{C1D172F9-6FE2-4992-9D55-F936DB77C14C}" name="Pelaksanaan" dataDxfId="165"/>
    <tableColumn id="3" xr3:uid="{92AE2A9B-899B-4A2E-8C3E-03B8B13F1725}" name="Jumlah PM" dataDxfId="164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A753782-5835-4919-9EC1-3ACBE38761A4}" name="Table51011151617284423" displayName="Table51011151617284423" ref="C53:E59" totalsRowShown="0" headerRowDxfId="163" headerRowBorderDxfId="162" tableBorderDxfId="161" totalsRowBorderDxfId="160">
  <autoFilter ref="C53:E59" xr:uid="{7A753782-5835-4919-9EC1-3ACBE38761A4}"/>
  <tableColumns count="3">
    <tableColumn id="1" xr3:uid="{C53FAE69-2F1F-491C-8F6D-81EE8420CDFC}" name="PROGRAM RESPON BENCANA (PSIKOSOSIAL)" dataDxfId="159"/>
    <tableColumn id="2" xr3:uid="{B8AB7AC0-58E3-4AE5-A723-026333FE43A7}" name="Pelaksanaan" dataDxfId="158"/>
    <tableColumn id="3" xr3:uid="{BD40AA90-BF43-49C8-933E-87CA4D95B4B0}" name="Jumlah PM" dataDxfId="157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93FD4B4-524E-40A5-9959-EFFE2AB14A89}" name="Table5101115161718294524" displayName="Table5101115161718294524" ref="C61:E76" totalsRowShown="0" headerRowDxfId="156" headerRowBorderDxfId="155" tableBorderDxfId="154" totalsRowBorderDxfId="153">
  <autoFilter ref="C61:E76" xr:uid="{293FD4B4-524E-40A5-9959-EFFE2AB14A89}"/>
  <tableColumns count="3">
    <tableColumn id="1" xr3:uid="{3E06F778-9537-40D1-82E6-91B3BE8AF530}" name="PROGRAM RESPON BENCANA (RECOVERY)" dataDxfId="152"/>
    <tableColumn id="2" xr3:uid="{92C81985-C013-48E9-A4F5-AC65B6251BD3}" name="Pelaksanaan" dataDxfId="151"/>
    <tableColumn id="3" xr3:uid="{6F760E71-9046-48DA-B928-2CF8C6142D8C}" name="Jumlah PM" dataDxfId="150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1B633B1-6474-49B5-AA9D-4C100D115BEE}" name="Table1224304625" displayName="Table1224304625" ref="G4:J8" totalsRowShown="0" headerRowDxfId="149" dataDxfId="147" headerRowBorderDxfId="148" tableBorderDxfId="146">
  <autoFilter ref="G4:J8" xr:uid="{B1B633B1-6474-49B5-AA9D-4C100D115BEE}"/>
  <tableColumns count="4">
    <tableColumn id="1" xr3:uid="{CD1E0F78-D5E9-400B-83F2-D3E734420888}" name="No" dataDxfId="145">
      <calculatedColumnFormula>IF(Table1224304625[[#Headers],[Nama Program]]="","",ROW(K1))</calculatedColumnFormula>
    </tableColumn>
    <tableColumn id="2" xr3:uid="{3E21763F-F695-4792-BCB7-4AC952AA29FE}" name="Nama Program" dataDxfId="144"/>
    <tableColumn id="3" xr3:uid="{EF22D8FB-C5E4-440D-BD2B-F9C794B4202E}" name="Jumlah Pelaksanaan" dataDxfId="143"/>
    <tableColumn id="4" xr3:uid="{DD17F2A4-8C64-4FEB-B6B5-36380BA9D9E9}" name="Jumlah PM" dataDxfId="142"/>
  </tableColumns>
  <tableStyleInfo name="TableStyleLight20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65E48D2A-FEB3-43A5-8FC4-6B42855CB489}" name="Table510111526324726" displayName="Table510111526324726" ref="H16:J18" totalsRowShown="0" headerRowDxfId="141" headerRowBorderDxfId="140" tableBorderDxfId="139" totalsRowBorderDxfId="138">
  <autoFilter ref="H16:J18" xr:uid="{65E48D2A-FEB3-43A5-8FC4-6B42855CB489}"/>
  <tableColumns count="3">
    <tableColumn id="1" xr3:uid="{85C45444-C224-4708-9454-E90C5B319059}" name="PROGRAM RESPON BENCANA (BANTUAN KESEHATAN)" dataDxfId="137"/>
    <tableColumn id="2" xr3:uid="{38EE2F42-336A-4871-8638-2CC21CA7F2E8}" name="Pelaksanaan" dataDxfId="136"/>
    <tableColumn id="3" xr3:uid="{DA6B080B-9162-4048-8940-9281C0597D8E}" name="Jumlah PM" dataDxfId="135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B63AA85B-8D81-4C4D-A222-D9FE0669631E}" name="Table51011151627334827" displayName="Table51011151627334827" ref="H20:J22" totalsRowShown="0" headerRowDxfId="134" headerRowBorderDxfId="133" tableBorderDxfId="132" totalsRowBorderDxfId="131">
  <autoFilter ref="H20:J22" xr:uid="{B63AA85B-8D81-4C4D-A222-D9FE0669631E}"/>
  <tableColumns count="3">
    <tableColumn id="1" xr3:uid="{278B1928-83E3-4216-98B8-6E5F7E54F417}" name="PROGRAM RESPON BENCANA (BANTUAN PANGAN)" dataDxfId="130"/>
    <tableColumn id="2" xr3:uid="{EA4C91CB-7D13-4F63-9E8F-8B8C370FA466}" name="Pelaksanaan" dataDxfId="129"/>
    <tableColumn id="3" xr3:uid="{FAD08BC4-CA23-4F49-96AA-C95CBB2371C7}" name="Jumlah PM" dataDxfId="128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F8AD070-2E45-44A0-9703-2CC23DF060C6}" name="Table5101115161728344928" displayName="Table5101115161728344928" ref="H24:J26" totalsRowShown="0" headerRowDxfId="127" headerRowBorderDxfId="126" tableBorderDxfId="125" totalsRowBorderDxfId="124">
  <autoFilter ref="H24:J26" xr:uid="{0F8AD070-2E45-44A0-9703-2CC23DF060C6}"/>
  <tableColumns count="3">
    <tableColumn id="1" xr3:uid="{7D16C05C-E987-4FC7-A6AC-14D85CE05F6E}" name="PROGRAM RESPON BENCANA (PSIKOSOSIAL)" dataDxfId="123"/>
    <tableColumn id="2" xr3:uid="{C8A847C7-9B3A-4E34-BA26-E0692578CA58}" name="Pelaksanaan" dataDxfId="122"/>
    <tableColumn id="3" xr3:uid="{A79A99DF-90A6-4FD9-B7A4-414867D15A49}" name="Jumlah PM" dataDxfId="121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5FDD542A-D5A4-4262-A9BC-9605D39D87C8}" name="Table510111516171829355029" displayName="Table510111516171829355029" ref="H28:J30" totalsRowShown="0" headerRowDxfId="120" headerRowBorderDxfId="119" tableBorderDxfId="118" totalsRowBorderDxfId="117">
  <autoFilter ref="H28:J30" xr:uid="{5FDD542A-D5A4-4262-A9BC-9605D39D87C8}"/>
  <tableColumns count="3">
    <tableColumn id="1" xr3:uid="{4B180327-913E-4732-A622-0810382A4674}" name="PROGRAM RESPON BENCANA (RECOVERY)" dataDxfId="116"/>
    <tableColumn id="2" xr3:uid="{F2F6816F-F80D-42AD-B9E6-0DB626B00D99}" name="Pelaksanaan" dataDxfId="115"/>
    <tableColumn id="3" xr3:uid="{612C6812-08FF-4E0A-BF2D-8DBF549484BA}" name="Jumlah PM" dataDxfId="114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F7122F79-F584-41E5-99DE-AD25FDD03D0E}" name="Table1224195130" displayName="Table1224195130" ref="L4:O11" totalsRowShown="0" headerRowDxfId="113" dataDxfId="111" headerRowBorderDxfId="112" tableBorderDxfId="110">
  <autoFilter ref="L4:O11" xr:uid="{F7122F79-F584-41E5-99DE-AD25FDD03D0E}"/>
  <tableColumns count="4">
    <tableColumn id="1" xr3:uid="{63FA9989-703F-4C42-960C-537ED907B703}" name="No" dataDxfId="109">
      <calculatedColumnFormula>IF(Table1224195130[[#Headers],[Nama Program]]="","",ROW(P1))</calculatedColumnFormula>
    </tableColumn>
    <tableColumn id="2" xr3:uid="{7930AB4F-2675-4360-9C83-4195B0A33F8E}" name="Nama Program" dataDxfId="108"/>
    <tableColumn id="3" xr3:uid="{61B1F014-956A-42F6-9264-F84880D80394}" name="Jumlah Pelaksanaan" dataDxfId="107"/>
    <tableColumn id="4" xr3:uid="{3FD55391-357B-435E-93B9-F7B5F32C1C23}" name="Jumlah PM" dataDxfId="106"/>
  </tableColumns>
  <tableStyleInfo name="TableStyleLight20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D6903142-B97F-4365-8217-DFA8B7DD7032}" name="Table5101125205231" displayName="Table5101125205231" ref="M19:O21" totalsRowShown="0" headerRowDxfId="105" headerRowBorderDxfId="104" tableBorderDxfId="103" totalsRowBorderDxfId="102">
  <autoFilter ref="M19:O21" xr:uid="{D6903142-B97F-4365-8217-DFA8B7DD7032}"/>
  <tableColumns count="3">
    <tableColumn id="1" xr3:uid="{2C6F9BF3-C447-430C-A931-CE83673D2B2D}" name="PROGRAM RESPON BENCANA (BANTUAN AIR BERSIH)" dataDxfId="101"/>
    <tableColumn id="2" xr3:uid="{5157FFC5-A5AF-4654-B974-06E181FB9C0E}" name="Pelaksanaan" dataDxfId="100"/>
    <tableColumn id="3" xr3:uid="{1EF6CE15-0AE7-4532-A961-F3631ECEADDF}" name="Jumlah PM" dataDxfId="99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9AEBDC52-2933-41B4-BC76-07AB2FF1250B}" name="Table510111526215332" displayName="Table510111526215332" ref="M23:O26" totalsRowShown="0" headerRowDxfId="98" headerRowBorderDxfId="97" tableBorderDxfId="96" totalsRowBorderDxfId="95">
  <autoFilter ref="M23:O26" xr:uid="{9AEBDC52-2933-41B4-BC76-07AB2FF1250B}"/>
  <tableColumns count="3">
    <tableColumn id="1" xr3:uid="{F9692808-0777-447E-9A50-4C9E484C4EA1}" name="PROGRAM RESPON BENCANA (BANTUAN KESEHATAN)" dataDxfId="94"/>
    <tableColumn id="2" xr3:uid="{54087DCC-171B-4E3C-9596-5D3893DBA14C}" name="Pelaksanaan" dataDxfId="93"/>
    <tableColumn id="3" xr3:uid="{145909D8-A343-474A-9A54-C68F795561FE}" name="Jumlah PM" dataDxfId="92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12EDCFBF-2297-43A3-8AC4-B62C4AA890EC}" name="Table51011151627225433" displayName="Table51011151627225433" ref="M28:O31" totalsRowShown="0" headerRowDxfId="91" headerRowBorderDxfId="90" tableBorderDxfId="89" totalsRowBorderDxfId="88">
  <autoFilter ref="M28:O31" xr:uid="{12EDCFBF-2297-43A3-8AC4-B62C4AA890EC}"/>
  <tableColumns count="3">
    <tableColumn id="1" xr3:uid="{4977DBA7-ECAD-4F57-AEEC-F7842150746D}" name="PROGRAM RESPON BENCANA (BANTUAN PANGAN)" dataDxfId="87"/>
    <tableColumn id="2" xr3:uid="{AA173A4A-C20C-4287-9B15-08F4BA6C2952}" name="Pelaksanaan" dataDxfId="86"/>
    <tableColumn id="3" xr3:uid="{284502ED-AD05-4E1D-9DF7-2438917A3120}" name="Jumlah PM" dataDxfId="85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6F636933-85F1-4780-8437-19F79E041E65}" name="Table5101115161728235534" displayName="Table5101115161728235534" ref="M33:O35" totalsRowShown="0" headerRowDxfId="84" headerRowBorderDxfId="83" tableBorderDxfId="82" totalsRowBorderDxfId="81">
  <autoFilter ref="M33:O35" xr:uid="{6F636933-85F1-4780-8437-19F79E041E65}"/>
  <tableColumns count="3">
    <tableColumn id="1" xr3:uid="{1FC0F189-695A-4225-BB9A-3426CBC234F0}" name="PROGRAM RESPON BENCANA (PSIKOSOSIAL)" dataDxfId="80"/>
    <tableColumn id="2" xr3:uid="{7579B90A-5D4D-4086-94FA-310D33788868}" name="Pelaksanaan" dataDxfId="79"/>
    <tableColumn id="3" xr3:uid="{0F53F5FE-D3FD-4374-8A23-5ACC26302183}" name="Jumlah PM" dataDxfId="78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16E70D63-4914-470A-87B4-4F1DB9203A24}" name="Table510111516171829315635" displayName="Table510111516171829315635" ref="M37:O39" totalsRowShown="0" headerRowDxfId="77" headerRowBorderDxfId="76" tableBorderDxfId="75" totalsRowBorderDxfId="74">
  <autoFilter ref="M37:O39" xr:uid="{16E70D63-4914-470A-87B4-4F1DB9203A24}"/>
  <tableColumns count="3">
    <tableColumn id="1" xr3:uid="{EA0F8A32-5D44-4560-9B8D-B8965274FA32}" name="PROGRAM RESPON BENCANA (RECOVERY)" dataDxfId="73"/>
    <tableColumn id="2" xr3:uid="{CB87D2AC-7C44-476F-B504-0E99288DAD5E}" name="Pelaksanaan" dataDxfId="72"/>
    <tableColumn id="3" xr3:uid="{6E262B06-8D71-42BC-A971-32376C69CD9A}" name="Jumlah PM" dataDxfId="71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2B05DBF5-17D9-4108-A8E8-274670B0EB99}" name="Table1224365736" displayName="Table1224365736" ref="Q4:T9" totalsRowShown="0" headerRowDxfId="70" dataDxfId="68" headerRowBorderDxfId="69" tableBorderDxfId="67">
  <autoFilter ref="Q4:T9" xr:uid="{2B05DBF5-17D9-4108-A8E8-274670B0EB99}"/>
  <tableColumns count="4">
    <tableColumn id="1" xr3:uid="{441E4E1F-4572-435D-A9AA-184B55E880AA}" name="No" dataDxfId="66">
      <calculatedColumnFormula>IF(Table1224365736[[#Headers],[Nama Program]]="","",ROW(U1))</calculatedColumnFormula>
    </tableColumn>
    <tableColumn id="2" xr3:uid="{89C222AF-3E41-43B5-8669-D4B01E4F2827}" name="Nama Program" dataDxfId="65"/>
    <tableColumn id="3" xr3:uid="{2C85CC4D-27B8-4DDC-8235-C33ECAC8992C}" name="Jumlah Pelaksanaan" dataDxfId="64"/>
    <tableColumn id="4" xr3:uid="{9FBA233E-0A5B-4AEC-B7A4-3A00BAAB71AE}" name="Jumlah PM" dataDxfId="63"/>
  </tableColumns>
  <tableStyleInfo name="TableStyleLight20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B00AA1-A5E3-47DC-987E-CCC434C981B2}" name="Table510111526385838" displayName="Table510111526385838" ref="R17:T19" totalsRowShown="0" headerRowDxfId="62" headerRowBorderDxfId="61" tableBorderDxfId="60" totalsRowBorderDxfId="59">
  <autoFilter ref="R17:T19" xr:uid="{E7B00AA1-A5E3-47DC-987E-CCC434C981B2}"/>
  <tableColumns count="3">
    <tableColumn id="1" xr3:uid="{7D0BAF81-D422-45DC-AF47-602C263EC89E}" name="PROGRAM RESPON BENCANA (BANTUAN KESEHATAN)" dataDxfId="58"/>
    <tableColumn id="2" xr3:uid="{EE24DBDC-4C44-4667-9E7B-C5515E565E75}" name="Pelaksanaan" dataDxfId="57"/>
    <tableColumn id="3" xr3:uid="{CD54260A-9FCD-4C01-890A-ECEE9E3DE98F}" name="Jumlah PM" dataDxfId="56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BD59315A-6654-41B4-8B59-22E5836331F9}" name="Table51011151627395939" displayName="Table51011151627395939" ref="R21:T23" totalsRowShown="0" headerRowDxfId="55" headerRowBorderDxfId="54" tableBorderDxfId="53" totalsRowBorderDxfId="52">
  <autoFilter ref="R21:T23" xr:uid="{BD59315A-6654-41B4-8B59-22E5836331F9}"/>
  <tableColumns count="3">
    <tableColumn id="1" xr3:uid="{99E4DE0A-5952-46D3-ABA2-2EBEB68D4458}" name="PROGRAM RESPON BENCANA (BANTUAN PANGAN)" dataDxfId="51"/>
    <tableColumn id="2" xr3:uid="{7578C314-C4B8-4990-9167-7D25825DCAAD}" name="Pelaksanaan" dataDxfId="50"/>
    <tableColumn id="3" xr3:uid="{4E697897-7948-4961-A11E-11379674AC51}" name="Jumlah PM" dataDxfId="49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A17BA7B7-B904-4639-B5C8-11A73E1B6EB0}" name="Table5101115161728406040" displayName="Table5101115161728406040" ref="R25:T27" totalsRowShown="0" headerRowDxfId="48" headerRowBorderDxfId="47" tableBorderDxfId="46" totalsRowBorderDxfId="45">
  <autoFilter ref="R25:T27" xr:uid="{A17BA7B7-B904-4639-B5C8-11A73E1B6EB0}"/>
  <tableColumns count="3">
    <tableColumn id="1" xr3:uid="{7C35A921-A089-46CB-B355-E0E1655F6506}" name="PROGRAM RESPON BENCANA (PSIKOSOSIAL)" dataDxfId="44"/>
    <tableColumn id="2" xr3:uid="{B4C72D91-A019-4667-9BD0-0AC7EBDAF548}" name="Pelaksanaan" dataDxfId="43"/>
    <tableColumn id="3" xr3:uid="{9F5B7672-CD5D-4769-BCCD-2BAA84A9ED0C}" name="Jumlah PM" dataDxfId="42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C2B686DA-C064-433A-A502-BC9BDD18755E}" name="Table510111516171829416141" displayName="Table510111516171829416141" ref="R29:T32" totalsRowShown="0" headerRowDxfId="41" headerRowBorderDxfId="40" tableBorderDxfId="39" totalsRowBorderDxfId="38">
  <autoFilter ref="R29:T32" xr:uid="{C2B686DA-C064-433A-A502-BC9BDD18755E}"/>
  <tableColumns count="3">
    <tableColumn id="1" xr3:uid="{87060DBA-8935-4983-BBC7-2E838D168688}" name="PROGRAM RESPON BENCANA (RECOVERY)" dataDxfId="37"/>
    <tableColumn id="2" xr3:uid="{92719CF4-C768-402C-B72F-36717B5F148B}" name="Pelaksanaan" dataDxfId="36"/>
    <tableColumn id="3" xr3:uid="{FBBCF231-06DC-468C-BD7B-8119DABA3DD2}" name="Jumlah PM" dataDxfId="35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ED2C6B7-A06A-449D-A0E8-9BF1749F58CD}" name="Table11" displayName="Table11" ref="B4:H28" headerRowDxfId="34" dataDxfId="32" totalsRowDxfId="30" headerRowBorderDxfId="33" tableBorderDxfId="31" totalsRowBorderDxfId="29">
  <autoFilter ref="B4:H28" xr:uid="{5ED2C6B7-A06A-449D-A0E8-9BF1749F58CD}"/>
  <sortState xmlns:xlrd2="http://schemas.microsoft.com/office/spreadsheetml/2017/richdata2" ref="B5:H28">
    <sortCondition descending="1" ref="H4:H28"/>
  </sortState>
  <tableColumns count="7">
    <tableColumn id="1" xr3:uid="{999FD102-ED44-428A-94B5-A989D91173A5}" name="No" dataDxfId="28" totalsRowDxfId="27">
      <calculatedColumnFormula>IF(Table11[[#This Row],[Kelurahan]]="","",ROW(I1))</calculatedColumnFormula>
    </tableColumn>
    <tableColumn id="2" xr3:uid="{EA3FD4C8-B883-4E0E-B87C-1044416E56D0}" name="Kelurahan" dataDxfId="26" totalsRowDxfId="25"/>
    <tableColumn id="3" xr3:uid="{A297E9E8-1376-4A6F-AB2F-8C696E87EB4A}" name="Kecamatan" dataDxfId="24" totalsRowDxfId="23">
      <calculatedColumnFormula>INDEX(Table2[Kecamatan],MATCH(Table11[[#This Row],[Kelurahan]],Table2[Kelurahan],0))</calculatedColumnFormula>
    </tableColumn>
    <tableColumn id="4" xr3:uid="{F145B2F8-6332-4769-B127-DF20777BAF65}" name="Kab/Kota" dataDxfId="22" totalsRowDxfId="21">
      <calculatedColumnFormula>INDEX(Table2[Kabupaten/Kota],MATCH(Table11[[#This Row],[Kecamatan]],Table2[Kecamatan],0))</calculatedColumnFormula>
    </tableColumn>
    <tableColumn id="5" xr3:uid="{26017E59-E27C-4496-9FE4-943F769C6A9A}" name="Provinsi" dataDxfId="20" totalsRowDxfId="19">
      <calculatedColumnFormula>INDEX(Table2[Provinsi],MATCH(Table11[[#This Row],[Kab/Kota]],Table2[Kabupaten/Kota],0))</calculatedColumnFormula>
    </tableColumn>
    <tableColumn id="6" xr3:uid="{0BE63882-DB14-4B3A-A520-0F7E7FC3F65B}" name="Negara" dataDxfId="18" totalsRowDxfId="17"/>
    <tableColumn id="7" xr3:uid="{D3A58054-8415-4385-A495-659BC58FA6D3}" name="Kuantitas program" dataDxfId="16" totalsRowDxfId="15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5525FE2-EC5D-42D1-8076-129F8694527D}" name="Table1110" displayName="Table1110" ref="B4:H54" headerRowDxfId="291" dataDxfId="289" totalsRowDxfId="287" headerRowBorderDxfId="290" tableBorderDxfId="288" totalsRowBorderDxfId="286">
  <autoFilter ref="B4:H54" xr:uid="{45525FE2-EC5D-42D1-8076-129F8694527D}"/>
  <sortState xmlns:xlrd2="http://schemas.microsoft.com/office/spreadsheetml/2017/richdata2" ref="B5:H54">
    <sortCondition descending="1" ref="H4:H54"/>
  </sortState>
  <tableColumns count="7">
    <tableColumn id="1" xr3:uid="{762A576C-B417-47BB-8184-2779F273DA4E}" name="No" dataDxfId="285" totalsRowDxfId="284">
      <calculatedColumnFormula>IF(Table1110[[#This Row],[Kelurahan]]="","",ROW(I1))</calculatedColumnFormula>
    </tableColumn>
    <tableColumn id="2" xr3:uid="{347ED5C8-7D23-41EE-8DD4-3512F4A54B61}" name="Kelurahan" dataDxfId="283" totalsRowDxfId="282"/>
    <tableColumn id="3" xr3:uid="{619C11F2-9E79-44D8-8015-678EDD0417CC}" name="Kecamatan" dataDxfId="281" totalsRowDxfId="280">
      <calculatedColumnFormula>INDEX(Table2[Kecamatan],MATCH(Table1110[[#This Row],[Kelurahan]],Table2[Kelurahan],0))</calculatedColumnFormula>
    </tableColumn>
    <tableColumn id="4" xr3:uid="{FAEB58C8-8B8C-4C78-B4FB-DCAD6C9D8F78}" name="Kab/Kota" dataDxfId="279" totalsRowDxfId="278">
      <calculatedColumnFormula>INDEX(Table2[Kabupaten/Kota],MATCH(Table1110[[#This Row],[Kecamatan]],Table2[Kecamatan],0))</calculatedColumnFormula>
    </tableColumn>
    <tableColumn id="5" xr3:uid="{3AEE358F-62B9-4EFD-8B16-AE5702B4F412}" name="Provinsi" dataDxfId="277" totalsRowDxfId="276">
      <calculatedColumnFormula>INDEX(Table2[Provinsi],MATCH(Table1110[[#This Row],[Kab/Kota]],Table2[Kabupaten/Kota],0))</calculatedColumnFormula>
    </tableColumn>
    <tableColumn id="6" xr3:uid="{D7D276CF-A73B-45EF-9B38-771BA1E67973}" name="Negara" dataDxfId="275" totalsRowDxfId="274"/>
    <tableColumn id="7" xr3:uid="{10FDBBD2-AA90-4084-94C7-E7AA9AE31D7C}" name="Kuantitas program" dataDxfId="273" totalsRowDxfId="272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D0FA005-A270-4BB8-AC9C-14FF2BED9744}" name="Table5" displayName="Table5" ref="B3:D84" totalsRowShown="0" dataDxfId="14">
  <autoFilter ref="B3:D84" xr:uid="{CD0FA005-A270-4BB8-AC9C-14FF2BED9744}"/>
  <sortState xmlns:xlrd2="http://schemas.microsoft.com/office/spreadsheetml/2017/richdata2" ref="B4:D71">
    <sortCondition ref="D3:D71"/>
  </sortState>
  <tableColumns count="3">
    <tableColumn id="1" xr3:uid="{4DA2B467-38CF-4E72-8830-749D2BD8CA28}" name="NO" dataDxfId="13">
      <calculatedColumnFormula>IF(Table5[[#This Row],[NAMA PROGRAM]]="","",ROW(H1))</calculatedColumnFormula>
    </tableColumn>
    <tableColumn id="2" xr3:uid="{F0D6EBCE-D686-4595-ADEC-A9C3B1130D6E}" name="NAMA PROGRAM" dataDxfId="12"/>
    <tableColumn id="3" xr3:uid="{D6B1E617-9BDF-492A-AECD-97768F5633F4}" name="KATEGORI PROGRAM" dataDxfId="11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5D71B5C-1700-473B-A572-95BA6752F2F1}" name="Table6" displayName="Table6" ref="F3:F16" totalsRowShown="0" headerRowDxfId="10" dataDxfId="8" headerRowBorderDxfId="9" tableBorderDxfId="7" totalsRowBorderDxfId="6">
  <autoFilter ref="F3:F16" xr:uid="{45D71B5C-1700-473B-A572-95BA6752F2F1}"/>
  <sortState xmlns:xlrd2="http://schemas.microsoft.com/office/spreadsheetml/2017/richdata2" ref="F4:F16">
    <sortCondition ref="F3:F16"/>
  </sortState>
  <tableColumns count="1">
    <tableColumn id="1" xr3:uid="{895C69E7-ED4C-4BBC-A5BF-BFF2582BE268}" name="KATEGORI PROGRAM" dataDxfId="5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EB0819-4E6E-4B5B-8E60-8A0381D2A5D5}" name="Table2" displayName="Table2" ref="H3:L175" totalsRowShown="0">
  <autoFilter ref="H3:L175" xr:uid="{D4EB0819-4E6E-4B5B-8E60-8A0381D2A5D5}"/>
  <sortState xmlns:xlrd2="http://schemas.microsoft.com/office/spreadsheetml/2017/richdata2" ref="H4:L142">
    <sortCondition ref="K3:K142"/>
  </sortState>
  <tableColumns count="5">
    <tableColumn id="1" xr3:uid="{8D158E17-5853-4B30-BEDA-5D189051017A}" name="No" dataDxfId="4">
      <calculatedColumnFormula>IF(Table2[[#This Row],[Kelurahan]]="","",ROW(M1))</calculatedColumnFormula>
    </tableColumn>
    <tableColumn id="2" xr3:uid="{2E879D74-9562-4A5F-AF4E-5D92C64A7F69}" name="Kelurahan"/>
    <tableColumn id="3" xr3:uid="{BBC07764-0996-48C6-9277-DC03AEE92D59}" name="Kecamatan"/>
    <tableColumn id="5" xr3:uid="{ECF6C8EB-8088-4F98-A6A9-3314D952890C}" name="Kabupaten/Kota"/>
    <tableColumn id="4" xr3:uid="{BDC590F7-7DC9-41B5-B861-07DB5AA7E868}" name="Provinsi"/>
  </tableColumns>
  <tableStyleInfo name="TableStyleLight20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74513D8-9D04-4158-9A07-BFF37D67E871}" name="Table13" displayName="Table13" ref="N3:O16" totalsRowShown="0">
  <autoFilter ref="N3:O16" xr:uid="{774513D8-9D04-4158-9A07-BFF37D67E871}"/>
  <tableColumns count="2">
    <tableColumn id="1" xr3:uid="{CF4D30BB-003C-4F6F-82B7-0CED3E39060F}" name="No" dataDxfId="3">
      <calculatedColumnFormula>IF(Table13[[#This Row],[Sasaran PM]]="","",ROW(Q1))</calculatedColumnFormula>
    </tableColumn>
    <tableColumn id="2" xr3:uid="{2C257920-1917-4A47-83A1-512A2F895C56}" name="Sasaran PM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aps.app.goo.gl/cFHAsF9LJ6s22gdM6" TargetMode="External"/><Relationship Id="rId18" Type="http://schemas.openxmlformats.org/officeDocument/2006/relationships/hyperlink" Target="https://maps.app.goo.gl/GAUzH5M8gzbqXzxp9" TargetMode="External"/><Relationship Id="rId26" Type="http://schemas.openxmlformats.org/officeDocument/2006/relationships/hyperlink" Target="https://maps.app.goo.gl/ghuoVRMhkSDirnKL9" TargetMode="External"/><Relationship Id="rId39" Type="http://schemas.openxmlformats.org/officeDocument/2006/relationships/hyperlink" Target="https://maps.app.goo.gl/vFykKMwEBX4g2Rgu7" TargetMode="External"/><Relationship Id="rId21" Type="http://schemas.openxmlformats.org/officeDocument/2006/relationships/hyperlink" Target="https://maps.app.goo.gl/iX7Ap69pscWibFR59" TargetMode="External"/><Relationship Id="rId34" Type="http://schemas.openxmlformats.org/officeDocument/2006/relationships/hyperlink" Target="https://maps.app.goo.gl/fsYptcWT5CDo3NEX7" TargetMode="External"/><Relationship Id="rId42" Type="http://schemas.openxmlformats.org/officeDocument/2006/relationships/hyperlink" Target="https://maps.app.goo.gl/5JYp11QWtcRy29WC7" TargetMode="External"/><Relationship Id="rId7" Type="http://schemas.openxmlformats.org/officeDocument/2006/relationships/hyperlink" Target="https://maps.app.goo.gl/KBBC3m5CwmJfm6WA6" TargetMode="External"/><Relationship Id="rId2" Type="http://schemas.openxmlformats.org/officeDocument/2006/relationships/hyperlink" Target="https://maps.app.goo.gl/mGVeyoB64wp4yd3Y9" TargetMode="External"/><Relationship Id="rId16" Type="http://schemas.openxmlformats.org/officeDocument/2006/relationships/hyperlink" Target="https://maps.app.goo.gl/SSinNo7bSYUVRK438" TargetMode="External"/><Relationship Id="rId29" Type="http://schemas.openxmlformats.org/officeDocument/2006/relationships/hyperlink" Target="https://maps.app.goo.gl/79abFKgmyhEYzeh59" TargetMode="External"/><Relationship Id="rId1" Type="http://schemas.openxmlformats.org/officeDocument/2006/relationships/hyperlink" Target="https://maps.app.goo.gl/5nDFuH2mc3VS4sne8" TargetMode="External"/><Relationship Id="rId6" Type="http://schemas.openxmlformats.org/officeDocument/2006/relationships/hyperlink" Target="https://maps.app.goo.gl/Lne1qbKYTMe4rA786" TargetMode="External"/><Relationship Id="rId11" Type="http://schemas.openxmlformats.org/officeDocument/2006/relationships/hyperlink" Target="https://maps.app.goo.gl/iX7Ap69pscWibFR59" TargetMode="External"/><Relationship Id="rId24" Type="http://schemas.openxmlformats.org/officeDocument/2006/relationships/hyperlink" Target="https://maps.app.goo.gl/FkJXdFaeLopiQeRe6" TargetMode="External"/><Relationship Id="rId32" Type="http://schemas.openxmlformats.org/officeDocument/2006/relationships/hyperlink" Target="https://maps.app.goo.gl/iX7Ap69pscWibFR59" TargetMode="External"/><Relationship Id="rId37" Type="http://schemas.openxmlformats.org/officeDocument/2006/relationships/hyperlink" Target="https://maps.app.goo.gl/CRuieVJk64mY5EnF8" TargetMode="External"/><Relationship Id="rId40" Type="http://schemas.openxmlformats.org/officeDocument/2006/relationships/hyperlink" Target="https://maps.app.goo.gl/wnN7nUskSabpSR8n6" TargetMode="External"/><Relationship Id="rId45" Type="http://schemas.openxmlformats.org/officeDocument/2006/relationships/table" Target="../tables/table1.xml"/><Relationship Id="rId5" Type="http://schemas.openxmlformats.org/officeDocument/2006/relationships/hyperlink" Target="https://maps.app.goo.gl/RZ48guw8fByVrt5v7" TargetMode="External"/><Relationship Id="rId15" Type="http://schemas.openxmlformats.org/officeDocument/2006/relationships/hyperlink" Target="https://maps.app.goo.gl/Qjotz7GJzepCHGvW7" TargetMode="External"/><Relationship Id="rId23" Type="http://schemas.openxmlformats.org/officeDocument/2006/relationships/hyperlink" Target="https://maps.app.goo.gl/5ZNXoz1XGDM2tqGe9" TargetMode="External"/><Relationship Id="rId28" Type="http://schemas.openxmlformats.org/officeDocument/2006/relationships/hyperlink" Target="https://maps.app.goo.gl/35ekm2xo6pC2fVQs7" TargetMode="External"/><Relationship Id="rId36" Type="http://schemas.openxmlformats.org/officeDocument/2006/relationships/hyperlink" Target="https://maps.app.goo.gl/9tDdFQXzy8LHCCW4A" TargetMode="External"/><Relationship Id="rId10" Type="http://schemas.openxmlformats.org/officeDocument/2006/relationships/hyperlink" Target="https://maps.app.goo.gl/ikHbkMVv3M9mfYQ99" TargetMode="External"/><Relationship Id="rId19" Type="http://schemas.openxmlformats.org/officeDocument/2006/relationships/hyperlink" Target="https://maps.app.goo.gl/65px8k8syG1SNhYD9" TargetMode="External"/><Relationship Id="rId31" Type="http://schemas.openxmlformats.org/officeDocument/2006/relationships/hyperlink" Target="https://maps.app.goo.gl/MgSauxfikcjrPTsS6" TargetMode="External"/><Relationship Id="rId44" Type="http://schemas.openxmlformats.org/officeDocument/2006/relationships/printerSettings" Target="../printerSettings/printerSettings1.bin"/><Relationship Id="rId4" Type="http://schemas.openxmlformats.org/officeDocument/2006/relationships/hyperlink" Target="https://maps.app.goo.gl/s6DgtvfgnjNSrzWAA" TargetMode="External"/><Relationship Id="rId9" Type="http://schemas.openxmlformats.org/officeDocument/2006/relationships/hyperlink" Target="https://maps.app.goo.gl/wh8VkT8ceMSHc57UA" TargetMode="External"/><Relationship Id="rId14" Type="http://schemas.openxmlformats.org/officeDocument/2006/relationships/hyperlink" Target="https://maps.app.goo.gl/2GVjBZ4HAu18Jguz8" TargetMode="External"/><Relationship Id="rId22" Type="http://schemas.openxmlformats.org/officeDocument/2006/relationships/hyperlink" Target="https://maps.app.goo.gl/iX7Ap69pscWibFR59" TargetMode="External"/><Relationship Id="rId27" Type="http://schemas.openxmlformats.org/officeDocument/2006/relationships/hyperlink" Target="https://maps.app.goo.gl/qsxvsxH7CbbmbXmS6" TargetMode="External"/><Relationship Id="rId30" Type="http://schemas.openxmlformats.org/officeDocument/2006/relationships/hyperlink" Target="https://maps.app.goo.gl/MgSauxfikcjrPTsS6" TargetMode="External"/><Relationship Id="rId35" Type="http://schemas.openxmlformats.org/officeDocument/2006/relationships/hyperlink" Target="https://maps.app.goo.gl/9tDdFQXzy8LHCCW4A" TargetMode="External"/><Relationship Id="rId43" Type="http://schemas.openxmlformats.org/officeDocument/2006/relationships/hyperlink" Target="https://maps.app.goo.gl/5JYp11QWtcRy29WC7" TargetMode="External"/><Relationship Id="rId8" Type="http://schemas.openxmlformats.org/officeDocument/2006/relationships/hyperlink" Target="https://maps.app.goo.gl/AmPNFoTxhuD83hSa8" TargetMode="External"/><Relationship Id="rId3" Type="http://schemas.openxmlformats.org/officeDocument/2006/relationships/hyperlink" Target="https://maps.app.goo.gl/mGVeyoB64wp4yd3Y9" TargetMode="External"/><Relationship Id="rId12" Type="http://schemas.openxmlformats.org/officeDocument/2006/relationships/hyperlink" Target="https://maps.app.goo.gl/Pt6TT1fqy8R2xBC49" TargetMode="External"/><Relationship Id="rId17" Type="http://schemas.openxmlformats.org/officeDocument/2006/relationships/hyperlink" Target="https://maps.app.goo.gl/5A5ZfdNCBUhwStGu8" TargetMode="External"/><Relationship Id="rId25" Type="http://schemas.openxmlformats.org/officeDocument/2006/relationships/hyperlink" Target="https://maps.app.goo.gl/mbsK6M3CeuTPQKEo8" TargetMode="External"/><Relationship Id="rId33" Type="http://schemas.openxmlformats.org/officeDocument/2006/relationships/hyperlink" Target="https://maps.app.goo.gl/n5hxb8KBKj5g5FB18" TargetMode="External"/><Relationship Id="rId38" Type="http://schemas.openxmlformats.org/officeDocument/2006/relationships/hyperlink" Target="https://maps.app.goo.gl/jDD8NSF1dGn66e6T9" TargetMode="External"/><Relationship Id="rId20" Type="http://schemas.openxmlformats.org/officeDocument/2006/relationships/hyperlink" Target="https://maps.app.goo.gl/KBBC3m5CwmJfm6WA6" TargetMode="External"/><Relationship Id="rId41" Type="http://schemas.openxmlformats.org/officeDocument/2006/relationships/hyperlink" Target="https://maps.app.goo.gl/5JYp11QWtcRy29WC7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7.xml"/><Relationship Id="rId13" Type="http://schemas.openxmlformats.org/officeDocument/2006/relationships/table" Target="../tables/table22.xml"/><Relationship Id="rId18" Type="http://schemas.openxmlformats.org/officeDocument/2006/relationships/table" Target="../tables/table27.xml"/><Relationship Id="rId3" Type="http://schemas.openxmlformats.org/officeDocument/2006/relationships/table" Target="../tables/table12.xml"/><Relationship Id="rId21" Type="http://schemas.openxmlformats.org/officeDocument/2006/relationships/table" Target="../tables/table30.xml"/><Relationship Id="rId7" Type="http://schemas.openxmlformats.org/officeDocument/2006/relationships/table" Target="../tables/table16.xml"/><Relationship Id="rId12" Type="http://schemas.openxmlformats.org/officeDocument/2006/relationships/table" Target="../tables/table21.xml"/><Relationship Id="rId17" Type="http://schemas.openxmlformats.org/officeDocument/2006/relationships/table" Target="../tables/table26.xml"/><Relationship Id="rId2" Type="http://schemas.openxmlformats.org/officeDocument/2006/relationships/table" Target="../tables/table11.xml"/><Relationship Id="rId16" Type="http://schemas.openxmlformats.org/officeDocument/2006/relationships/table" Target="../tables/table25.xml"/><Relationship Id="rId20" Type="http://schemas.openxmlformats.org/officeDocument/2006/relationships/table" Target="../tables/table29.xml"/><Relationship Id="rId1" Type="http://schemas.openxmlformats.org/officeDocument/2006/relationships/table" Target="../tables/table10.xml"/><Relationship Id="rId6" Type="http://schemas.openxmlformats.org/officeDocument/2006/relationships/table" Target="../tables/table15.xml"/><Relationship Id="rId11" Type="http://schemas.openxmlformats.org/officeDocument/2006/relationships/table" Target="../tables/table20.xml"/><Relationship Id="rId5" Type="http://schemas.openxmlformats.org/officeDocument/2006/relationships/table" Target="../tables/table14.xml"/><Relationship Id="rId15" Type="http://schemas.openxmlformats.org/officeDocument/2006/relationships/table" Target="../tables/table24.xml"/><Relationship Id="rId10" Type="http://schemas.openxmlformats.org/officeDocument/2006/relationships/table" Target="../tables/table19.xml"/><Relationship Id="rId19" Type="http://schemas.openxmlformats.org/officeDocument/2006/relationships/table" Target="../tables/table28.xml"/><Relationship Id="rId4" Type="http://schemas.openxmlformats.org/officeDocument/2006/relationships/table" Target="../tables/table13.xml"/><Relationship Id="rId9" Type="http://schemas.openxmlformats.org/officeDocument/2006/relationships/table" Target="../tables/table18.xml"/><Relationship Id="rId14" Type="http://schemas.openxmlformats.org/officeDocument/2006/relationships/table" Target="../tables/table23.xml"/><Relationship Id="rId22" Type="http://schemas.openxmlformats.org/officeDocument/2006/relationships/table" Target="../tables/table3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6.xml"/><Relationship Id="rId2" Type="http://schemas.openxmlformats.org/officeDocument/2006/relationships/table" Target="../tables/table35.xml"/><Relationship Id="rId1" Type="http://schemas.openxmlformats.org/officeDocument/2006/relationships/table" Target="../tables/table34.xml"/><Relationship Id="rId4" Type="http://schemas.openxmlformats.org/officeDocument/2006/relationships/table" Target="../tables/table3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9CF38-A2A3-424A-8F08-797B4760F48C}">
  <dimension ref="B1:Q67"/>
  <sheetViews>
    <sheetView showGridLines="0" tabSelected="1" zoomScale="60" zoomScaleNormal="60" workbookViewId="0">
      <pane xSplit="2" ySplit="4" topLeftCell="C57" activePane="bottomRight" state="frozen"/>
      <selection pane="topRight" activeCell="C1" sqref="C1"/>
      <selection pane="bottomLeft" activeCell="A5" sqref="A5"/>
      <selection pane="bottomRight" activeCell="H5" sqref="H5:H67"/>
    </sheetView>
  </sheetViews>
  <sheetFormatPr defaultRowHeight="15.5" x14ac:dyDescent="0.35"/>
  <cols>
    <col min="1" max="1" width="4.36328125" style="74" customWidth="1"/>
    <col min="2" max="2" width="7.26953125" style="69" customWidth="1"/>
    <col min="3" max="3" width="14.7265625" style="69" customWidth="1"/>
    <col min="4" max="4" width="29.36328125" style="70" customWidth="1"/>
    <col min="5" max="5" width="20.453125" style="71" customWidth="1"/>
    <col min="6" max="6" width="25" style="70" customWidth="1"/>
    <col min="7" max="7" width="24.1796875" style="72" customWidth="1"/>
    <col min="8" max="8" width="15.7265625" style="73" customWidth="1"/>
    <col min="9" max="9" width="14.1796875" style="73" customWidth="1"/>
    <col min="10" max="10" width="14.1796875" style="70" customWidth="1"/>
    <col min="11" max="11" width="19.6328125" style="70" customWidth="1"/>
    <col min="12" max="12" width="10.36328125" style="1" customWidth="1"/>
    <col min="13" max="13" width="21.453125" style="73" bestFit="1" customWidth="1"/>
    <col min="14" max="14" width="12.81640625" style="73" customWidth="1"/>
    <col min="15" max="15" width="27.7265625" style="74" bestFit="1" customWidth="1"/>
    <col min="16" max="16" width="5.26953125" style="74" customWidth="1"/>
    <col min="17" max="17" width="11.453125" style="1" bestFit="1" customWidth="1"/>
    <col min="18" max="16384" width="8.7265625" style="74"/>
  </cols>
  <sheetData>
    <row r="1" spans="2:17" ht="16" thickBot="1" x14ac:dyDescent="0.4"/>
    <row r="2" spans="2:17" ht="24" thickBot="1" x14ac:dyDescent="0.4">
      <c r="B2" s="101" t="s">
        <v>398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3"/>
    </row>
    <row r="3" spans="2:17" ht="16" thickBot="1" x14ac:dyDescent="0.4">
      <c r="Q3" s="75" t="s">
        <v>5</v>
      </c>
    </row>
    <row r="4" spans="2:17" ht="31.5" thickBot="1" x14ac:dyDescent="0.4">
      <c r="B4" s="76" t="s">
        <v>15</v>
      </c>
      <c r="C4" s="77" t="s">
        <v>161</v>
      </c>
      <c r="D4" s="78" t="s">
        <v>16</v>
      </c>
      <c r="E4" s="79" t="s">
        <v>11</v>
      </c>
      <c r="F4" s="78" t="s">
        <v>22</v>
      </c>
      <c r="G4" s="80" t="s">
        <v>160</v>
      </c>
      <c r="H4" s="81" t="s">
        <v>367</v>
      </c>
      <c r="I4" s="82" t="s">
        <v>23</v>
      </c>
      <c r="J4" s="82" t="s">
        <v>162</v>
      </c>
      <c r="K4" s="82" t="s">
        <v>24</v>
      </c>
      <c r="L4" s="83" t="s">
        <v>25</v>
      </c>
      <c r="M4" s="82" t="s">
        <v>26</v>
      </c>
      <c r="N4" s="78" t="s">
        <v>8</v>
      </c>
      <c r="O4" s="77" t="s">
        <v>205</v>
      </c>
      <c r="Q4" s="84">
        <f>SUM(L5:L71)</f>
        <v>11679</v>
      </c>
    </row>
    <row r="5" spans="2:17" ht="31" x14ac:dyDescent="0.35">
      <c r="B5" s="93">
        <f>IF(Table1[[#This Row],[TANGGAL]]="","",ROW(N1))</f>
        <v>1</v>
      </c>
      <c r="C5" s="94">
        <v>46082</v>
      </c>
      <c r="D5" s="95" t="s">
        <v>384</v>
      </c>
      <c r="E5" s="52" t="str">
        <f>INDEX(Table5[KATEGORI PROGRAM],MATCH(Table1[[#This Row],[NAMA PROGRAM]],Table5[NAMA PROGRAM],0))</f>
        <v>Event Sosial</v>
      </c>
      <c r="F5" s="43" t="s">
        <v>399</v>
      </c>
      <c r="G5" s="96" t="s">
        <v>400</v>
      </c>
      <c r="H5" s="53" t="s">
        <v>224</v>
      </c>
      <c r="I5" s="53" t="str">
        <f>INDEX(Table2[Kecamatan],MATCH(Table1[[#This Row],[KELURAHAN / DESA]],Table2[Kelurahan],0))</f>
        <v>Kemuning</v>
      </c>
      <c r="J5" s="53" t="str">
        <f>INDEX(Table2[Kabupaten/Kota],MATCH(Table1[[#This Row],[KECAMATAN]],Table2[Kecamatan],0))</f>
        <v>Palembang</v>
      </c>
      <c r="K5" s="95" t="str">
        <f>INDEX(Table2[Provinsi],MATCH(Table1[[#This Row],[KAB./KOTA]],Table2[Kabupaten/Kota],0))</f>
        <v>Sumatera Selatan</v>
      </c>
      <c r="L5" s="44">
        <v>300</v>
      </c>
      <c r="M5" s="53">
        <v>15</v>
      </c>
      <c r="N5" s="53" t="s">
        <v>401</v>
      </c>
      <c r="O5" s="68" t="s">
        <v>220</v>
      </c>
    </row>
    <row r="6" spans="2:17" ht="31" x14ac:dyDescent="0.35">
      <c r="B6" s="93">
        <f>IF(Table1[[#This Row],[TANGGAL]]="","",ROW(N2))</f>
        <v>2</v>
      </c>
      <c r="C6" s="94">
        <v>46084</v>
      </c>
      <c r="D6" s="95" t="s">
        <v>502</v>
      </c>
      <c r="E6" s="52" t="str">
        <f>INDEX(Table5[KATEGORI PROGRAM],MATCH(Table1[[#This Row],[NAMA PROGRAM]],Table5[NAMA PROGRAM],0))</f>
        <v>Respon Bencana (Recovery)</v>
      </c>
      <c r="F6" s="43" t="s">
        <v>507</v>
      </c>
      <c r="G6" s="96" t="s">
        <v>506</v>
      </c>
      <c r="H6" s="53" t="s">
        <v>296</v>
      </c>
      <c r="I6" s="53" t="str">
        <f>INDEX(Table2[Kecamatan],MATCH(Table1[[#This Row],[KELURAHAN / DESA]],Table2[Kelurahan],0))</f>
        <v>Bendahara</v>
      </c>
      <c r="J6" s="53" t="str">
        <f>INDEX(Table2[Kabupaten/Kota],MATCH(Table1[[#This Row],[KECAMATAN]],Table2[Kecamatan],0))</f>
        <v>Aceh Tamiang</v>
      </c>
      <c r="K6" s="95" t="str">
        <f>INDEX(Table2[Provinsi],MATCH(Table1[[#This Row],[KAB./KOTA]],Table2[Kabupaten/Kota],0))</f>
        <v>Nangroe Aceh Darussalam</v>
      </c>
      <c r="L6" s="44">
        <v>50</v>
      </c>
      <c r="M6" s="53" t="s">
        <v>509</v>
      </c>
      <c r="N6" s="53" t="s">
        <v>508</v>
      </c>
      <c r="O6" s="68" t="s">
        <v>220</v>
      </c>
    </row>
    <row r="7" spans="2:17" ht="31" x14ac:dyDescent="0.35">
      <c r="B7" s="93">
        <f>IF(Table1[[#This Row],[TANGGAL]]="","",ROW(N3))</f>
        <v>3</v>
      </c>
      <c r="C7" s="94">
        <v>46084</v>
      </c>
      <c r="D7" s="95" t="s">
        <v>355</v>
      </c>
      <c r="E7" s="52" t="str">
        <f>INDEX(Table5[KATEGORI PROGRAM],MATCH(Table1[[#This Row],[NAMA PROGRAM]],Table5[NAMA PROGRAM],0))</f>
        <v>Respon Bencana (Recovery)</v>
      </c>
      <c r="F7" s="43" t="s">
        <v>507</v>
      </c>
      <c r="G7" s="96" t="s">
        <v>506</v>
      </c>
      <c r="H7" s="53" t="s">
        <v>296</v>
      </c>
      <c r="I7" s="53" t="str">
        <f>INDEX(Table2[Kecamatan],MATCH(Table1[[#This Row],[KELURAHAN / DESA]],Table2[Kelurahan],0))</f>
        <v>Bendahara</v>
      </c>
      <c r="J7" s="53" t="str">
        <f>INDEX(Table2[Kabupaten/Kota],MATCH(Table1[[#This Row],[KECAMATAN]],Table2[Kecamatan],0))</f>
        <v>Aceh Tamiang</v>
      </c>
      <c r="K7" s="95" t="str">
        <f>INDEX(Table2[Provinsi],MATCH(Table1[[#This Row],[KAB./KOTA]],Table2[Kabupaten/Kota],0))</f>
        <v>Nangroe Aceh Darussalam</v>
      </c>
      <c r="L7" s="44">
        <v>1080</v>
      </c>
      <c r="M7" s="53" t="s">
        <v>510</v>
      </c>
      <c r="N7" s="53" t="s">
        <v>508</v>
      </c>
      <c r="O7" s="68" t="s">
        <v>220</v>
      </c>
    </row>
    <row r="8" spans="2:17" ht="31" x14ac:dyDescent="0.35">
      <c r="B8" s="93">
        <f>IF(Table1[[#This Row],[TANGGAL]]="","",ROW(N4))</f>
        <v>4</v>
      </c>
      <c r="C8" s="94">
        <v>46084</v>
      </c>
      <c r="D8" s="95" t="s">
        <v>387</v>
      </c>
      <c r="E8" s="52" t="str">
        <f>INDEX(Table5[KATEGORI PROGRAM],MATCH(Table1[[#This Row],[NAMA PROGRAM]],Table5[NAMA PROGRAM],0))</f>
        <v>Pangan</v>
      </c>
      <c r="F8" s="43" t="s">
        <v>402</v>
      </c>
      <c r="G8" s="96" t="s">
        <v>403</v>
      </c>
      <c r="H8" s="53" t="s">
        <v>48</v>
      </c>
      <c r="I8" s="53" t="str">
        <f>INDEX(Table2[Kecamatan],MATCH(Table1[[#This Row],[KELURAHAN / DESA]],Table2[Kelurahan],0))</f>
        <v>Ilir Barat I</v>
      </c>
      <c r="J8" s="53" t="str">
        <f>INDEX(Table2[Kabupaten/Kota],MATCH(Table1[[#This Row],[KECAMATAN]],Table2[Kecamatan],0))</f>
        <v>Palembang</v>
      </c>
      <c r="K8" s="95" t="str">
        <f>INDEX(Table2[Provinsi],MATCH(Table1[[#This Row],[KAB./KOTA]],Table2[Kabupaten/Kota],0))</f>
        <v>Sumatera Selatan</v>
      </c>
      <c r="L8" s="44">
        <v>50</v>
      </c>
      <c r="M8" s="53" t="s">
        <v>404</v>
      </c>
      <c r="N8" s="53" t="s">
        <v>405</v>
      </c>
      <c r="O8" s="68" t="s">
        <v>212</v>
      </c>
    </row>
    <row r="9" spans="2:17" ht="31" x14ac:dyDescent="0.35">
      <c r="B9" s="93">
        <f>IF(Table1[[#This Row],[TANGGAL]]="","",ROW(N5))</f>
        <v>5</v>
      </c>
      <c r="C9" s="94">
        <v>46084</v>
      </c>
      <c r="D9" s="95" t="s">
        <v>389</v>
      </c>
      <c r="E9" s="97" t="str">
        <f>INDEX(Table5[KATEGORI PROGRAM],MATCH(Table1[[#This Row],[NAMA PROGRAM]],Table5[NAMA PROGRAM],0))</f>
        <v>Pangan</v>
      </c>
      <c r="F9" s="43" t="s">
        <v>448</v>
      </c>
      <c r="G9" s="96" t="s">
        <v>469</v>
      </c>
      <c r="H9" s="53" t="s">
        <v>91</v>
      </c>
      <c r="I9" s="53" t="str">
        <f>INDEX(Table2[Kecamatan],MATCH(Table1[[#This Row],[KELURAHAN / DESA]],Table2[Kelurahan],0))</f>
        <v>Kemuning</v>
      </c>
      <c r="J9" s="53" t="str">
        <f>INDEX(Table2[Kabupaten/Kota],MATCH(Table1[[#This Row],[KECAMATAN]],Table2[Kecamatan],0))</f>
        <v>Palembang</v>
      </c>
      <c r="K9" s="95" t="str">
        <f>INDEX(Table2[Provinsi],MATCH(Table1[[#This Row],[KAB./KOTA]],Table2[Kabupaten/Kota],0))</f>
        <v>Sumatera Selatan</v>
      </c>
      <c r="L9" s="44">
        <v>50</v>
      </c>
      <c r="M9" s="53" t="s">
        <v>472</v>
      </c>
      <c r="N9" s="53" t="s">
        <v>473</v>
      </c>
      <c r="O9" s="68" t="s">
        <v>212</v>
      </c>
    </row>
    <row r="10" spans="2:17" ht="31" x14ac:dyDescent="0.35">
      <c r="B10" s="93">
        <f>IF(Table1[[#This Row],[TANGGAL]]="","",ROW(N6))</f>
        <v>6</v>
      </c>
      <c r="C10" s="94">
        <v>46085</v>
      </c>
      <c r="D10" s="95" t="s">
        <v>503</v>
      </c>
      <c r="E10" s="52" t="str">
        <f>INDEX(Table5[KATEGORI PROGRAM],MATCH(Table1[[#This Row],[NAMA PROGRAM]],Table5[NAMA PROGRAM],0))</f>
        <v>Respon Bencana (Recovery)</v>
      </c>
      <c r="F10" s="43" t="s">
        <v>513</v>
      </c>
      <c r="G10" s="96" t="s">
        <v>511</v>
      </c>
      <c r="H10" s="53" t="s">
        <v>314</v>
      </c>
      <c r="I10" s="53" t="str">
        <f>INDEX(Table2[Kecamatan],MATCH(Table1[[#This Row],[KELURAHAN / DESA]],Table2[Kelurahan],0))</f>
        <v>Rantau</v>
      </c>
      <c r="J10" s="53" t="str">
        <f>INDEX(Table2[Kabupaten/Kota],MATCH(Table1[[#This Row],[KECAMATAN]],Table2[Kecamatan],0))</f>
        <v>Aceh Tamiang</v>
      </c>
      <c r="K10" s="95" t="str">
        <f>INDEX(Table2[Provinsi],MATCH(Table1[[#This Row],[KAB./KOTA]],Table2[Kabupaten/Kota],0))</f>
        <v>Nangroe Aceh Darussalam</v>
      </c>
      <c r="L10" s="44">
        <v>25</v>
      </c>
      <c r="M10" s="53" t="s">
        <v>519</v>
      </c>
      <c r="N10" s="53" t="s">
        <v>508</v>
      </c>
      <c r="O10" s="68" t="s">
        <v>220</v>
      </c>
    </row>
    <row r="11" spans="2:17" ht="29" x14ac:dyDescent="0.35">
      <c r="B11" s="93">
        <f>IF(Table1[[#This Row],[TANGGAL]]="","",ROW(N7))</f>
        <v>7</v>
      </c>
      <c r="C11" s="94">
        <v>46085</v>
      </c>
      <c r="D11" s="95" t="s">
        <v>2</v>
      </c>
      <c r="E11" s="52" t="str">
        <f>INDEX(Table5[KATEGORI PROGRAM],MATCH(Table1[[#This Row],[NAMA PROGRAM]],Table5[NAMA PROGRAM],0))</f>
        <v>Pendidikan</v>
      </c>
      <c r="F11" s="43" t="s">
        <v>412</v>
      </c>
      <c r="G11" s="96" t="s">
        <v>413</v>
      </c>
      <c r="H11" s="53" t="s">
        <v>99</v>
      </c>
      <c r="I11" s="53" t="str">
        <f>INDEX(Table2[Kecamatan],MATCH(Table1[[#This Row],[KELURAHAN / DESA]],Table2[Kelurahan],0))</f>
        <v>Kertapati</v>
      </c>
      <c r="J11" s="53" t="str">
        <f>INDEX(Table2[Kabupaten/Kota],MATCH(Table1[[#This Row],[KECAMATAN]],Table2[Kecamatan],0))</f>
        <v>Palembang</v>
      </c>
      <c r="K11" s="95" t="str">
        <f>INDEX(Table2[Provinsi],MATCH(Table1[[#This Row],[KAB./KOTA]],Table2[Kabupaten/Kota],0))</f>
        <v>Sumatera Selatan</v>
      </c>
      <c r="L11" s="44">
        <v>37</v>
      </c>
      <c r="M11" s="53" t="s">
        <v>9</v>
      </c>
      <c r="N11" s="53" t="s">
        <v>420</v>
      </c>
      <c r="O11" s="68" t="s">
        <v>206</v>
      </c>
    </row>
    <row r="12" spans="2:17" ht="29" x14ac:dyDescent="0.35">
      <c r="B12" s="93">
        <f>IF(Table1[[#This Row],[TANGGAL]]="","",ROW(N8))</f>
        <v>8</v>
      </c>
      <c r="C12" s="94">
        <v>46085</v>
      </c>
      <c r="D12" s="95" t="s">
        <v>3</v>
      </c>
      <c r="E12" s="52" t="str">
        <f>INDEX(Table5[KATEGORI PROGRAM],MATCH(Table1[[#This Row],[NAMA PROGRAM]],Table5[NAMA PROGRAM],0))</f>
        <v>Pendidikan</v>
      </c>
      <c r="F12" s="43" t="s">
        <v>414</v>
      </c>
      <c r="G12" s="96" t="s">
        <v>415</v>
      </c>
      <c r="H12" s="53" t="s">
        <v>82</v>
      </c>
      <c r="I12" s="53" t="str">
        <f>INDEX(Table2[Kecamatan],MATCH(Table1[[#This Row],[KELURAHAN / DESA]],Table2[Kelurahan],0))</f>
        <v>Jakabaring</v>
      </c>
      <c r="J12" s="53" t="str">
        <f>INDEX(Table2[Kabupaten/Kota],MATCH(Table1[[#This Row],[KECAMATAN]],Table2[Kecamatan],0))</f>
        <v>Palembang</v>
      </c>
      <c r="K12" s="95" t="str">
        <f>INDEX(Table2[Provinsi],MATCH(Table1[[#This Row],[KAB./KOTA]],Table2[Kabupaten/Kota],0))</f>
        <v>Sumatera Selatan</v>
      </c>
      <c r="L12" s="44">
        <v>21</v>
      </c>
      <c r="M12" s="53" t="s">
        <v>9</v>
      </c>
      <c r="N12" s="53" t="s">
        <v>421</v>
      </c>
      <c r="O12" s="68" t="s">
        <v>206</v>
      </c>
    </row>
    <row r="13" spans="2:17" ht="31" x14ac:dyDescent="0.35">
      <c r="B13" s="93">
        <f>IF(Table1[[#This Row],[TANGGAL]]="","",ROW(N9))</f>
        <v>9</v>
      </c>
      <c r="C13" s="94">
        <v>46085</v>
      </c>
      <c r="D13" s="95" t="s">
        <v>502</v>
      </c>
      <c r="E13" s="52" t="str">
        <f>INDEX(Table5[KATEGORI PROGRAM],MATCH(Table1[[#This Row],[NAMA PROGRAM]],Table5[NAMA PROGRAM],0))</f>
        <v>Respon Bencana (Recovery)</v>
      </c>
      <c r="F13" s="43" t="s">
        <v>514</v>
      </c>
      <c r="G13" s="96" t="s">
        <v>512</v>
      </c>
      <c r="H13" s="53" t="s">
        <v>299</v>
      </c>
      <c r="I13" s="53" t="str">
        <f>INDEX(Table2[Kecamatan],MATCH(Table1[[#This Row],[KELURAHAN / DESA]],Table2[Kelurahan],0))</f>
        <v>Kejuruan Muda</v>
      </c>
      <c r="J13" s="53" t="str">
        <f>INDEX(Table2[Kabupaten/Kota],MATCH(Table1[[#This Row],[KECAMATAN]],Table2[Kecamatan],0))</f>
        <v>Aceh Tamiang</v>
      </c>
      <c r="K13" s="95" t="str">
        <f>INDEX(Table2[Provinsi],MATCH(Table1[[#This Row],[KAB./KOTA]],Table2[Kabupaten/Kota],0))</f>
        <v>Nangroe Aceh Darussalam</v>
      </c>
      <c r="L13" s="44">
        <v>70</v>
      </c>
      <c r="M13" s="53" t="s">
        <v>509</v>
      </c>
      <c r="N13" s="53" t="s">
        <v>508</v>
      </c>
      <c r="O13" s="68" t="s">
        <v>220</v>
      </c>
    </row>
    <row r="14" spans="2:17" ht="29" x14ac:dyDescent="0.35">
      <c r="B14" s="93">
        <f>IF(Table1[[#This Row],[TANGGAL]]="","",ROW(N10))</f>
        <v>10</v>
      </c>
      <c r="C14" s="94">
        <v>46085</v>
      </c>
      <c r="D14" s="95" t="s">
        <v>388</v>
      </c>
      <c r="E14" s="52" t="str">
        <f>INDEX(Table5[KATEGORI PROGRAM],MATCH(Table1[[#This Row],[NAMA PROGRAM]],Table5[NAMA PROGRAM],0))</f>
        <v>Pangan</v>
      </c>
      <c r="F14" s="43" t="s">
        <v>406</v>
      </c>
      <c r="G14" s="96" t="s">
        <v>407</v>
      </c>
      <c r="H14" s="53" t="s">
        <v>105</v>
      </c>
      <c r="I14" s="53" t="str">
        <f>INDEX(Table2[Kecamatan],MATCH(Table1[[#This Row],[KELURAHAN / DESA]],Table2[Kelurahan],0))</f>
        <v>Plaju</v>
      </c>
      <c r="J14" s="53" t="str">
        <f>INDEX(Table2[Kabupaten/Kota],MATCH(Table1[[#This Row],[KECAMATAN]],Table2[Kecamatan],0))</f>
        <v>Palembang</v>
      </c>
      <c r="K14" s="95" t="str">
        <f>INDEX(Table2[Provinsi],MATCH(Table1[[#This Row],[KAB./KOTA]],Table2[Kabupaten/Kota],0))</f>
        <v>Sumatera Selatan</v>
      </c>
      <c r="L14" s="44">
        <v>100</v>
      </c>
      <c r="M14" s="53" t="s">
        <v>408</v>
      </c>
      <c r="N14" s="53" t="s">
        <v>409</v>
      </c>
      <c r="O14" s="68" t="s">
        <v>212</v>
      </c>
    </row>
    <row r="15" spans="2:17" ht="29" x14ac:dyDescent="0.35">
      <c r="B15" s="93">
        <f>IF(Table1[[#This Row],[TANGGAL]]="","",ROW(N11))</f>
        <v>11</v>
      </c>
      <c r="C15" s="94">
        <v>46085</v>
      </c>
      <c r="D15" s="95" t="s">
        <v>389</v>
      </c>
      <c r="E15" s="52" t="str">
        <f>INDEX(Table5[KATEGORI PROGRAM],MATCH(Table1[[#This Row],[NAMA PROGRAM]],Table5[NAMA PROGRAM],0))</f>
        <v>Pangan</v>
      </c>
      <c r="F15" s="43" t="s">
        <v>412</v>
      </c>
      <c r="G15" s="96" t="s">
        <v>413</v>
      </c>
      <c r="H15" s="53" t="s">
        <v>99</v>
      </c>
      <c r="I15" s="53" t="str">
        <f>INDEX(Table2[Kecamatan],MATCH(Table1[[#This Row],[KELURAHAN / DESA]],Table2[Kelurahan],0))</f>
        <v>Kertapati</v>
      </c>
      <c r="J15" s="53" t="str">
        <f>INDEX(Table2[Kabupaten/Kota],MATCH(Table1[[#This Row],[KECAMATAN]],Table2[Kecamatan],0))</f>
        <v>Palembang</v>
      </c>
      <c r="K15" s="95" t="str">
        <f>INDEX(Table2[Provinsi],MATCH(Table1[[#This Row],[KAB./KOTA]],Table2[Kabupaten/Kota],0))</f>
        <v>Sumatera Selatan</v>
      </c>
      <c r="L15" s="44">
        <v>37</v>
      </c>
      <c r="M15" s="53" t="s">
        <v>417</v>
      </c>
      <c r="N15" s="53" t="s">
        <v>420</v>
      </c>
      <c r="O15" s="68" t="s">
        <v>206</v>
      </c>
    </row>
    <row r="16" spans="2:17" ht="29" x14ac:dyDescent="0.35">
      <c r="B16" s="93">
        <f>IF(Table1[[#This Row],[TANGGAL]]="","",ROW(N12))</f>
        <v>12</v>
      </c>
      <c r="C16" s="94">
        <v>46085</v>
      </c>
      <c r="D16" s="95" t="s">
        <v>389</v>
      </c>
      <c r="E16" s="52" t="str">
        <f>INDEX(Table5[KATEGORI PROGRAM],MATCH(Table1[[#This Row],[NAMA PROGRAM]],Table5[NAMA PROGRAM],0))</f>
        <v>Pangan</v>
      </c>
      <c r="F16" s="43" t="s">
        <v>414</v>
      </c>
      <c r="G16" s="96" t="s">
        <v>415</v>
      </c>
      <c r="H16" s="53" t="s">
        <v>82</v>
      </c>
      <c r="I16" s="53" t="str">
        <f>INDEX(Table2[Kecamatan],MATCH(Table1[[#This Row],[KELURAHAN / DESA]],Table2[Kelurahan],0))</f>
        <v>Jakabaring</v>
      </c>
      <c r="J16" s="53" t="str">
        <f>INDEX(Table2[Kabupaten/Kota],MATCH(Table1[[#This Row],[KECAMATAN]],Table2[Kecamatan],0))</f>
        <v>Palembang</v>
      </c>
      <c r="K16" s="95" t="str">
        <f>INDEX(Table2[Provinsi],MATCH(Table1[[#This Row],[KAB./KOTA]],Table2[Kabupaten/Kota],0))</f>
        <v>Sumatera Selatan</v>
      </c>
      <c r="L16" s="44">
        <v>21</v>
      </c>
      <c r="M16" s="53" t="s">
        <v>416</v>
      </c>
      <c r="N16" s="53" t="s">
        <v>421</v>
      </c>
      <c r="O16" s="68" t="s">
        <v>206</v>
      </c>
    </row>
    <row r="17" spans="2:15" ht="29" x14ac:dyDescent="0.35">
      <c r="B17" s="93">
        <f>IF(Table1[[#This Row],[TANGGAL]]="","",ROW(N13))</f>
        <v>13</v>
      </c>
      <c r="C17" s="94">
        <v>46085</v>
      </c>
      <c r="D17" s="95" t="s">
        <v>389</v>
      </c>
      <c r="E17" s="52" t="str">
        <f>INDEX(Table5[KATEGORI PROGRAM],MATCH(Table1[[#This Row],[NAMA PROGRAM]],Table5[NAMA PROGRAM],0))</f>
        <v>Pangan</v>
      </c>
      <c r="F17" s="43" t="s">
        <v>406</v>
      </c>
      <c r="G17" s="96" t="s">
        <v>407</v>
      </c>
      <c r="H17" s="53" t="s">
        <v>105</v>
      </c>
      <c r="I17" s="53" t="str">
        <f>INDEX(Table2[Kecamatan],MATCH(Table1[[#This Row],[KELURAHAN / DESA]],Table2[Kelurahan],0))</f>
        <v>Plaju</v>
      </c>
      <c r="J17" s="53" t="str">
        <f>INDEX(Table2[Kabupaten/Kota],MATCH(Table1[[#This Row],[KECAMATAN]],Table2[Kecamatan],0))</f>
        <v>Palembang</v>
      </c>
      <c r="K17" s="95" t="str">
        <f>INDEX(Table2[Provinsi],MATCH(Table1[[#This Row],[KAB./KOTA]],Table2[Kabupaten/Kota],0))</f>
        <v>Sumatera Selatan</v>
      </c>
      <c r="L17" s="44">
        <v>100</v>
      </c>
      <c r="M17" s="53" t="s">
        <v>410</v>
      </c>
      <c r="N17" s="53" t="s">
        <v>409</v>
      </c>
      <c r="O17" s="68" t="s">
        <v>212</v>
      </c>
    </row>
    <row r="18" spans="2:15" ht="29" x14ac:dyDescent="0.35">
      <c r="B18" s="93">
        <f>IF(Table1[[#This Row],[TANGGAL]]="","",ROW(N14))</f>
        <v>14</v>
      </c>
      <c r="C18" s="94">
        <v>46085</v>
      </c>
      <c r="D18" s="95" t="s">
        <v>389</v>
      </c>
      <c r="E18" s="52" t="str">
        <f>INDEX(Table5[KATEGORI PROGRAM],MATCH(Table1[[#This Row],[NAMA PROGRAM]],Table5[NAMA PROGRAM],0))</f>
        <v>Pangan</v>
      </c>
      <c r="F18" s="43" t="s">
        <v>411</v>
      </c>
      <c r="G18" s="96" t="s">
        <v>403</v>
      </c>
      <c r="H18" s="53" t="s">
        <v>47</v>
      </c>
      <c r="I18" s="53" t="str">
        <f>INDEX(Table2[Kecamatan],MATCH(Table1[[#This Row],[KELURAHAN / DESA]],Table2[Kelurahan],0))</f>
        <v>Ilir Barat I</v>
      </c>
      <c r="J18" s="53" t="str">
        <f>INDEX(Table2[Kabupaten/Kota],MATCH(Table1[[#This Row],[KECAMATAN]],Table2[Kecamatan],0))</f>
        <v>Palembang</v>
      </c>
      <c r="K18" s="95" t="str">
        <f>INDEX(Table2[Provinsi],MATCH(Table1[[#This Row],[KAB./KOTA]],Table2[Kabupaten/Kota],0))</f>
        <v>Sumatera Selatan</v>
      </c>
      <c r="L18" s="44">
        <v>250</v>
      </c>
      <c r="M18" s="53" t="s">
        <v>410</v>
      </c>
      <c r="N18" s="53" t="s">
        <v>409</v>
      </c>
      <c r="O18" s="68" t="s">
        <v>212</v>
      </c>
    </row>
    <row r="19" spans="2:15" ht="31" x14ac:dyDescent="0.35">
      <c r="B19" s="93">
        <f>IF(Table1[[#This Row],[TANGGAL]]="","",ROW(N15))</f>
        <v>15</v>
      </c>
      <c r="C19" s="94">
        <v>46085</v>
      </c>
      <c r="D19" s="95" t="s">
        <v>389</v>
      </c>
      <c r="E19" s="52" t="str">
        <f>INDEX(Table5[KATEGORI PROGRAM],MATCH(Table1[[#This Row],[NAMA PROGRAM]],Table5[NAMA PROGRAM],0))</f>
        <v>Pangan</v>
      </c>
      <c r="F19" s="43" t="s">
        <v>418</v>
      </c>
      <c r="G19" s="96" t="s">
        <v>419</v>
      </c>
      <c r="H19" s="53" t="s">
        <v>47</v>
      </c>
      <c r="I19" s="53" t="str">
        <f>INDEX(Table2[Kecamatan],MATCH(Table1[[#This Row],[KELURAHAN / DESA]],Table2[Kelurahan],0))</f>
        <v>Ilir Barat I</v>
      </c>
      <c r="J19" s="53" t="str">
        <f>INDEX(Table2[Kabupaten/Kota],MATCH(Table1[[#This Row],[KECAMATAN]],Table2[Kecamatan],0))</f>
        <v>Palembang</v>
      </c>
      <c r="K19" s="95" t="str">
        <f>INDEX(Table2[Provinsi],MATCH(Table1[[#This Row],[KAB./KOTA]],Table2[Kabupaten/Kota],0))</f>
        <v>Sumatera Selatan</v>
      </c>
      <c r="L19" s="44">
        <v>100</v>
      </c>
      <c r="M19" s="53" t="s">
        <v>410</v>
      </c>
      <c r="N19" s="53" t="s">
        <v>409</v>
      </c>
      <c r="O19" s="68" t="s">
        <v>220</v>
      </c>
    </row>
    <row r="20" spans="2:15" ht="29" x14ac:dyDescent="0.35">
      <c r="B20" s="93">
        <f>IF(Table1[[#This Row],[TANGGAL]]="","",ROW(N16))</f>
        <v>16</v>
      </c>
      <c r="C20" s="94">
        <v>46086</v>
      </c>
      <c r="D20" s="95" t="s">
        <v>388</v>
      </c>
      <c r="E20" s="52" t="str">
        <f>INDEX(Table5[KATEGORI PROGRAM],MATCH(Table1[[#This Row],[NAMA PROGRAM]],Table5[NAMA PROGRAM],0))</f>
        <v>Pangan</v>
      </c>
      <c r="F20" s="43" t="s">
        <v>422</v>
      </c>
      <c r="G20" s="96" t="s">
        <v>423</v>
      </c>
      <c r="H20" s="53" t="s">
        <v>99</v>
      </c>
      <c r="I20" s="53" t="str">
        <f>INDEX(Table2[Kecamatan],MATCH(Table1[[#This Row],[KELURAHAN / DESA]],Table2[Kelurahan],0))</f>
        <v>Kertapati</v>
      </c>
      <c r="J20" s="53" t="str">
        <f>INDEX(Table2[Kabupaten/Kota],MATCH(Table1[[#This Row],[KECAMATAN]],Table2[Kecamatan],0))</f>
        <v>Palembang</v>
      </c>
      <c r="K20" s="95" t="str">
        <f>INDEX(Table2[Provinsi],MATCH(Table1[[#This Row],[KAB./KOTA]],Table2[Kabupaten/Kota],0))</f>
        <v>Sumatera Selatan</v>
      </c>
      <c r="L20" s="44">
        <v>50</v>
      </c>
      <c r="M20" s="53" t="s">
        <v>426</v>
      </c>
      <c r="N20" s="53" t="s">
        <v>427</v>
      </c>
      <c r="O20" s="68" t="s">
        <v>206</v>
      </c>
    </row>
    <row r="21" spans="2:15" ht="29" x14ac:dyDescent="0.35">
      <c r="B21" s="93">
        <f>IF(Table1[[#This Row],[TANGGAL]]="","",ROW(N17))</f>
        <v>17</v>
      </c>
      <c r="C21" s="94">
        <v>46086</v>
      </c>
      <c r="D21" s="95" t="s">
        <v>388</v>
      </c>
      <c r="E21" s="52" t="str">
        <f>INDEX(Table5[KATEGORI PROGRAM],MATCH(Table1[[#This Row],[NAMA PROGRAM]],Table5[NAMA PROGRAM],0))</f>
        <v>Pangan</v>
      </c>
      <c r="F21" s="43" t="s">
        <v>424</v>
      </c>
      <c r="G21" s="96" t="s">
        <v>425</v>
      </c>
      <c r="H21" s="53" t="s">
        <v>96</v>
      </c>
      <c r="I21" s="53" t="str">
        <f>INDEX(Table2[Kecamatan],MATCH(Table1[[#This Row],[KELURAHAN / DESA]],Table2[Kelurahan],0))</f>
        <v>Kertapati</v>
      </c>
      <c r="J21" s="53" t="str">
        <f>INDEX(Table2[Kabupaten/Kota],MATCH(Table1[[#This Row],[KECAMATAN]],Table2[Kecamatan],0))</f>
        <v>Palembang</v>
      </c>
      <c r="K21" s="95" t="str">
        <f>INDEX(Table2[Provinsi],MATCH(Table1[[#This Row],[KAB./KOTA]],Table2[Kabupaten/Kota],0))</f>
        <v>Sumatera Selatan</v>
      </c>
      <c r="L21" s="44">
        <v>50</v>
      </c>
      <c r="M21" s="53" t="s">
        <v>426</v>
      </c>
      <c r="N21" s="53" t="s">
        <v>428</v>
      </c>
      <c r="O21" s="68" t="s">
        <v>206</v>
      </c>
    </row>
    <row r="22" spans="2:15" ht="31" x14ac:dyDescent="0.35">
      <c r="B22" s="93">
        <f>IF(Table1[[#This Row],[TANGGAL]]="","",ROW(N18))</f>
        <v>18</v>
      </c>
      <c r="C22" s="94">
        <v>46086</v>
      </c>
      <c r="D22" s="95" t="s">
        <v>504</v>
      </c>
      <c r="E22" s="52" t="str">
        <f>INDEX(Table5[KATEGORI PROGRAM],MATCH(Table1[[#This Row],[NAMA PROGRAM]],Table5[NAMA PROGRAM],0))</f>
        <v>Respon Bencana (Recovery)</v>
      </c>
      <c r="F22" s="43" t="s">
        <v>517</v>
      </c>
      <c r="G22" s="96" t="s">
        <v>515</v>
      </c>
      <c r="H22" s="53" t="s">
        <v>299</v>
      </c>
      <c r="I22" s="53" t="str">
        <f>INDEX(Table2[Kecamatan],MATCH(Table1[[#This Row],[KELURAHAN / DESA]],Table2[Kelurahan],0))</f>
        <v>Kejuruan Muda</v>
      </c>
      <c r="J22" s="53" t="str">
        <f>INDEX(Table2[Kabupaten/Kota],MATCH(Table1[[#This Row],[KECAMATAN]],Table2[Kecamatan],0))</f>
        <v>Aceh Tamiang</v>
      </c>
      <c r="K22" s="95" t="str">
        <f>INDEX(Table2[Provinsi],MATCH(Table1[[#This Row],[KAB./KOTA]],Table2[Kabupaten/Kota],0))</f>
        <v>Nangroe Aceh Darussalam</v>
      </c>
      <c r="L22" s="44">
        <v>75</v>
      </c>
      <c r="M22" s="53" t="s">
        <v>478</v>
      </c>
      <c r="N22" s="53" t="s">
        <v>508</v>
      </c>
      <c r="O22" s="68" t="s">
        <v>220</v>
      </c>
    </row>
    <row r="23" spans="2:15" ht="29" x14ac:dyDescent="0.35">
      <c r="B23" s="93">
        <f>IF(Table1[[#This Row],[TANGGAL]]="","",ROW(N19))</f>
        <v>19</v>
      </c>
      <c r="C23" s="94">
        <v>46086</v>
      </c>
      <c r="D23" s="95" t="s">
        <v>7</v>
      </c>
      <c r="E23" s="52" t="str">
        <f>INDEX(Table5[KATEGORI PROGRAM],MATCH(Table1[[#This Row],[NAMA PROGRAM]],Table5[NAMA PROGRAM],0))</f>
        <v>Pendidikan</v>
      </c>
      <c r="F23" s="43" t="s">
        <v>422</v>
      </c>
      <c r="G23" s="96" t="s">
        <v>423</v>
      </c>
      <c r="H23" s="53" t="s">
        <v>99</v>
      </c>
      <c r="I23" s="53" t="str">
        <f>INDEX(Table2[Kecamatan],MATCH(Table1[[#This Row],[KELURAHAN / DESA]],Table2[Kelurahan],0))</f>
        <v>Kertapati</v>
      </c>
      <c r="J23" s="53" t="str">
        <f>INDEX(Table2[Kabupaten/Kota],MATCH(Table1[[#This Row],[KECAMATAN]],Table2[Kecamatan],0))</f>
        <v>Palembang</v>
      </c>
      <c r="K23" s="95" t="str">
        <f>INDEX(Table2[Provinsi],MATCH(Table1[[#This Row],[KAB./KOTA]],Table2[Kabupaten/Kota],0))</f>
        <v>Sumatera Selatan</v>
      </c>
      <c r="L23" s="44">
        <v>45</v>
      </c>
      <c r="M23" s="53" t="s">
        <v>9</v>
      </c>
      <c r="N23" s="53" t="s">
        <v>427</v>
      </c>
      <c r="O23" s="68" t="s">
        <v>206</v>
      </c>
    </row>
    <row r="24" spans="2:15" ht="29" x14ac:dyDescent="0.35">
      <c r="B24" s="93">
        <f>IF(Table1[[#This Row],[TANGGAL]]="","",ROW(N20))</f>
        <v>20</v>
      </c>
      <c r="C24" s="94">
        <v>46086</v>
      </c>
      <c r="D24" s="95" t="s">
        <v>19</v>
      </c>
      <c r="E24" s="52" t="str">
        <f>INDEX(Table5[KATEGORI PROGRAM],MATCH(Table1[[#This Row],[NAMA PROGRAM]],Table5[NAMA PROGRAM],0))</f>
        <v>Syiar &amp; Dakwah</v>
      </c>
      <c r="F24" s="43" t="s">
        <v>430</v>
      </c>
      <c r="G24" s="96" t="s">
        <v>431</v>
      </c>
      <c r="H24" s="53" t="s">
        <v>429</v>
      </c>
      <c r="I24" s="53" t="str">
        <f>INDEX(Table2[Kecamatan],MATCH(Table1[[#This Row],[KELURAHAN / DESA]],Table2[Kelurahan],0))</f>
        <v>Indralaya</v>
      </c>
      <c r="J24" s="53" t="str">
        <f>INDEX(Table2[Kabupaten/Kota],MATCH(Table1[[#This Row],[KECAMATAN]],Table2[Kecamatan],0))</f>
        <v>Ogan Ilir</v>
      </c>
      <c r="K24" s="95" t="str">
        <f>INDEX(Table2[Provinsi],MATCH(Table1[[#This Row],[KAB./KOTA]],Table2[Kabupaten/Kota],0))</f>
        <v>Sumatera Selatan</v>
      </c>
      <c r="L24" s="44">
        <v>90</v>
      </c>
      <c r="M24" s="53" t="s">
        <v>432</v>
      </c>
      <c r="N24" s="53" t="s">
        <v>433</v>
      </c>
      <c r="O24" s="68" t="s">
        <v>210</v>
      </c>
    </row>
    <row r="25" spans="2:15" ht="31" x14ac:dyDescent="0.35">
      <c r="B25" s="93">
        <f>IF(Table1[[#This Row],[TANGGAL]]="","",ROW(N21))</f>
        <v>21</v>
      </c>
      <c r="C25" s="94">
        <v>46086</v>
      </c>
      <c r="D25" s="95" t="s">
        <v>19</v>
      </c>
      <c r="E25" s="52" t="str">
        <f>INDEX(Table5[KATEGORI PROGRAM],MATCH(Table1[[#This Row],[NAMA PROGRAM]],Table5[NAMA PROGRAM],0))</f>
        <v>Syiar &amp; Dakwah</v>
      </c>
      <c r="F25" s="43" t="s">
        <v>434</v>
      </c>
      <c r="G25" s="96" t="s">
        <v>435</v>
      </c>
      <c r="H25" s="53" t="s">
        <v>244</v>
      </c>
      <c r="I25" s="53" t="str">
        <f>INDEX(Table2[Kecamatan],MATCH(Table1[[#This Row],[KELURAHAN / DESA]],Table2[Kelurahan],0))</f>
        <v>Indralaya Utara</v>
      </c>
      <c r="J25" s="53" t="str">
        <f>INDEX(Table2[Kabupaten/Kota],MATCH(Table1[[#This Row],[KECAMATAN]],Table2[Kecamatan],0))</f>
        <v>Ogan Ilir</v>
      </c>
      <c r="K25" s="95" t="str">
        <f>INDEX(Table2[Provinsi],MATCH(Table1[[#This Row],[KAB./KOTA]],Table2[Kabupaten/Kota],0))</f>
        <v>Sumatera Selatan</v>
      </c>
      <c r="L25" s="44">
        <v>45</v>
      </c>
      <c r="M25" s="53" t="s">
        <v>432</v>
      </c>
      <c r="N25" s="53" t="s">
        <v>433</v>
      </c>
      <c r="O25" s="68" t="s">
        <v>210</v>
      </c>
    </row>
    <row r="26" spans="2:15" ht="31" x14ac:dyDescent="0.35">
      <c r="B26" s="93">
        <f>IF(Table1[[#This Row],[TANGGAL]]="","",ROW(N22))</f>
        <v>22</v>
      </c>
      <c r="C26" s="94">
        <v>46086</v>
      </c>
      <c r="D26" s="95" t="s">
        <v>502</v>
      </c>
      <c r="E26" s="52" t="str">
        <f>INDEX(Table5[KATEGORI PROGRAM],MATCH(Table1[[#This Row],[NAMA PROGRAM]],Table5[NAMA PROGRAM],0))</f>
        <v>Respon Bencana (Recovery)</v>
      </c>
      <c r="F26" s="43" t="s">
        <v>518</v>
      </c>
      <c r="G26" s="96" t="s">
        <v>516</v>
      </c>
      <c r="H26" s="53" t="s">
        <v>314</v>
      </c>
      <c r="I26" s="53" t="str">
        <f>INDEX(Table2[Kecamatan],MATCH(Table1[[#This Row],[KELURAHAN / DESA]],Table2[Kelurahan],0))</f>
        <v>Rantau</v>
      </c>
      <c r="J26" s="53" t="str">
        <f>INDEX(Table2[Kabupaten/Kota],MATCH(Table1[[#This Row],[KECAMATAN]],Table2[Kecamatan],0))</f>
        <v>Aceh Tamiang</v>
      </c>
      <c r="K26" s="95" t="str">
        <f>INDEX(Table2[Provinsi],MATCH(Table1[[#This Row],[KAB./KOTA]],Table2[Kabupaten/Kota],0))</f>
        <v>Nangroe Aceh Darussalam</v>
      </c>
      <c r="L26" s="44">
        <v>60</v>
      </c>
      <c r="M26" s="53" t="s">
        <v>509</v>
      </c>
      <c r="N26" s="53" t="s">
        <v>508</v>
      </c>
      <c r="O26" s="68" t="s">
        <v>220</v>
      </c>
    </row>
    <row r="27" spans="2:15" ht="29" x14ac:dyDescent="0.35">
      <c r="B27" s="93">
        <f>IF(Table1[[#This Row],[TANGGAL]]="","",ROW(N23))</f>
        <v>23</v>
      </c>
      <c r="C27" s="94">
        <v>46086</v>
      </c>
      <c r="D27" s="95" t="s">
        <v>6</v>
      </c>
      <c r="E27" s="52" t="str">
        <f>INDEX(Table5[KATEGORI PROGRAM],MATCH(Table1[[#This Row],[NAMA PROGRAM]],Table5[NAMA PROGRAM],0))</f>
        <v>Pendidikan</v>
      </c>
      <c r="F27" s="43" t="s">
        <v>424</v>
      </c>
      <c r="G27" s="96" t="s">
        <v>425</v>
      </c>
      <c r="H27" s="53" t="s">
        <v>96</v>
      </c>
      <c r="I27" s="53" t="str">
        <f>INDEX(Table2[Kecamatan],MATCH(Table1[[#This Row],[KELURAHAN / DESA]],Table2[Kelurahan],0))</f>
        <v>Kertapati</v>
      </c>
      <c r="J27" s="53" t="str">
        <f>INDEX(Table2[Kabupaten/Kota],MATCH(Table1[[#This Row],[KECAMATAN]],Table2[Kecamatan],0))</f>
        <v>Palembang</v>
      </c>
      <c r="K27" s="95" t="str">
        <f>INDEX(Table2[Provinsi],MATCH(Table1[[#This Row],[KAB./KOTA]],Table2[Kabupaten/Kota],0))</f>
        <v>Sumatera Selatan</v>
      </c>
      <c r="L27" s="44">
        <v>60</v>
      </c>
      <c r="M27" s="53" t="s">
        <v>9</v>
      </c>
      <c r="N27" s="53" t="s">
        <v>428</v>
      </c>
      <c r="O27" s="68" t="s">
        <v>206</v>
      </c>
    </row>
    <row r="28" spans="2:15" ht="29" x14ac:dyDescent="0.35">
      <c r="B28" s="93">
        <f>IF(Table1[[#This Row],[TANGGAL]]="","",ROW(N24))</f>
        <v>24</v>
      </c>
      <c r="C28" s="94">
        <v>46087</v>
      </c>
      <c r="D28" s="95" t="s">
        <v>388</v>
      </c>
      <c r="E28" s="52" t="str">
        <f>INDEX(Table5[KATEGORI PROGRAM],MATCH(Table1[[#This Row],[NAMA PROGRAM]],Table5[NAMA PROGRAM],0))</f>
        <v>Pangan</v>
      </c>
      <c r="F28" s="43" t="s">
        <v>440</v>
      </c>
      <c r="G28" s="96" t="s">
        <v>441</v>
      </c>
      <c r="H28" s="53" t="s">
        <v>99</v>
      </c>
      <c r="I28" s="53" t="str">
        <f>INDEX(Table2[Kecamatan],MATCH(Table1[[#This Row],[KELURAHAN / DESA]],Table2[Kelurahan],0))</f>
        <v>Kertapati</v>
      </c>
      <c r="J28" s="53" t="str">
        <f>INDEX(Table2[Kabupaten/Kota],MATCH(Table1[[#This Row],[KECAMATAN]],Table2[Kecamatan],0))</f>
        <v>Palembang</v>
      </c>
      <c r="K28" s="95" t="str">
        <f>INDEX(Table2[Provinsi],MATCH(Table1[[#This Row],[KAB./KOTA]],Table2[Kabupaten/Kota],0))</f>
        <v>Sumatera Selatan</v>
      </c>
      <c r="L28" s="44">
        <v>110</v>
      </c>
      <c r="M28" s="53" t="s">
        <v>426</v>
      </c>
      <c r="N28" s="53" t="s">
        <v>405</v>
      </c>
      <c r="O28" s="68" t="s">
        <v>210</v>
      </c>
    </row>
    <row r="29" spans="2:15" ht="29" x14ac:dyDescent="0.35">
      <c r="B29" s="93">
        <f>IF(Table1[[#This Row],[TANGGAL]]="","",ROW(N25))</f>
        <v>25</v>
      </c>
      <c r="C29" s="94">
        <v>46087</v>
      </c>
      <c r="D29" s="95" t="s">
        <v>388</v>
      </c>
      <c r="E29" s="52" t="str">
        <f>INDEX(Table5[KATEGORI PROGRAM],MATCH(Table1[[#This Row],[NAMA PROGRAM]],Table5[NAMA PROGRAM],0))</f>
        <v>Pangan</v>
      </c>
      <c r="F29" s="43" t="s">
        <v>442</v>
      </c>
      <c r="G29" s="96" t="s">
        <v>443</v>
      </c>
      <c r="H29" s="53" t="s">
        <v>49</v>
      </c>
      <c r="I29" s="53" t="str">
        <f>INDEX(Table2[Kecamatan],MATCH(Table1[[#This Row],[KELURAHAN / DESA]],Table2[Kelurahan],0))</f>
        <v>Ilir Barat I</v>
      </c>
      <c r="J29" s="53" t="str">
        <f>INDEX(Table2[Kabupaten/Kota],MATCH(Table1[[#This Row],[KECAMATAN]],Table2[Kecamatan],0))</f>
        <v>Palembang</v>
      </c>
      <c r="K29" s="95" t="str">
        <f>INDEX(Table2[Provinsi],MATCH(Table1[[#This Row],[KAB./KOTA]],Table2[Kabupaten/Kota],0))</f>
        <v>Sumatera Selatan</v>
      </c>
      <c r="L29" s="44">
        <v>100</v>
      </c>
      <c r="M29" s="53" t="s">
        <v>426</v>
      </c>
      <c r="N29" s="53" t="s">
        <v>405</v>
      </c>
      <c r="O29" s="68" t="s">
        <v>210</v>
      </c>
    </row>
    <row r="30" spans="2:15" ht="31" x14ac:dyDescent="0.35">
      <c r="B30" s="93">
        <f>IF(Table1[[#This Row],[TANGGAL]]="","",ROW(N26))</f>
        <v>26</v>
      </c>
      <c r="C30" s="94">
        <v>46087</v>
      </c>
      <c r="D30" s="95" t="s">
        <v>388</v>
      </c>
      <c r="E30" s="52" t="str">
        <f>INDEX(Table5[KATEGORI PROGRAM],MATCH(Table1[[#This Row],[NAMA PROGRAM]],Table5[NAMA PROGRAM],0))</f>
        <v>Pangan</v>
      </c>
      <c r="F30" s="43" t="s">
        <v>436</v>
      </c>
      <c r="G30" s="96" t="s">
        <v>437</v>
      </c>
      <c r="H30" s="53" t="s">
        <v>47</v>
      </c>
      <c r="I30" s="53" t="str">
        <f>INDEX(Table2[Kecamatan],MATCH(Table1[[#This Row],[KELURAHAN / DESA]],Table2[Kelurahan],0))</f>
        <v>Ilir Barat I</v>
      </c>
      <c r="J30" s="53" t="str">
        <f>INDEX(Table2[Kabupaten/Kota],MATCH(Table1[[#This Row],[KECAMATAN]],Table2[Kecamatan],0))</f>
        <v>Palembang</v>
      </c>
      <c r="K30" s="95" t="str">
        <f>INDEX(Table2[Provinsi],MATCH(Table1[[#This Row],[KAB./KOTA]],Table2[Kabupaten/Kota],0))</f>
        <v>Sumatera Selatan</v>
      </c>
      <c r="L30" s="44">
        <v>150</v>
      </c>
      <c r="M30" s="53" t="s">
        <v>408</v>
      </c>
      <c r="N30" s="53" t="s">
        <v>409</v>
      </c>
      <c r="O30" s="68" t="s">
        <v>208</v>
      </c>
    </row>
    <row r="31" spans="2:15" ht="31" x14ac:dyDescent="0.35">
      <c r="B31" s="93">
        <f>IF(Table1[[#This Row],[TANGGAL]]="","",ROW(N27))</f>
        <v>27</v>
      </c>
      <c r="C31" s="94">
        <v>46087</v>
      </c>
      <c r="D31" s="95" t="s">
        <v>502</v>
      </c>
      <c r="E31" s="52" t="str">
        <f>INDEX(Table5[KATEGORI PROGRAM],MATCH(Table1[[#This Row],[NAMA PROGRAM]],Table5[NAMA PROGRAM],0))</f>
        <v>Respon Bencana (Recovery)</v>
      </c>
      <c r="F31" s="43" t="s">
        <v>520</v>
      </c>
      <c r="G31" s="96" t="s">
        <v>521</v>
      </c>
      <c r="H31" s="53" t="s">
        <v>312</v>
      </c>
      <c r="I31" s="53" t="str">
        <f>INDEX(Table2[Kecamatan],MATCH(Table1[[#This Row],[KELURAHAN / DESA]],Table2[Kelurahan],0))</f>
        <v>Rantau</v>
      </c>
      <c r="J31" s="53" t="str">
        <f>INDEX(Table2[Kabupaten/Kota],MATCH(Table1[[#This Row],[KECAMATAN]],Table2[Kecamatan],0))</f>
        <v>Aceh Tamiang</v>
      </c>
      <c r="K31" s="95" t="str">
        <f>INDEX(Table2[Provinsi],MATCH(Table1[[#This Row],[KAB./KOTA]],Table2[Kabupaten/Kota],0))</f>
        <v>Nangroe Aceh Darussalam</v>
      </c>
      <c r="L31" s="44">
        <v>50</v>
      </c>
      <c r="M31" s="53" t="s">
        <v>509</v>
      </c>
      <c r="N31" s="53" t="s">
        <v>508</v>
      </c>
      <c r="O31" s="68" t="s">
        <v>220</v>
      </c>
    </row>
    <row r="32" spans="2:15" ht="29" x14ac:dyDescent="0.35">
      <c r="B32" s="93">
        <f>IF(Table1[[#This Row],[TANGGAL]]="","",ROW(N28))</f>
        <v>28</v>
      </c>
      <c r="C32" s="94">
        <v>46087</v>
      </c>
      <c r="D32" s="95" t="s">
        <v>388</v>
      </c>
      <c r="E32" s="52" t="str">
        <f>INDEX(Table5[KATEGORI PROGRAM],MATCH(Table1[[#This Row],[NAMA PROGRAM]],Table5[NAMA PROGRAM],0))</f>
        <v>Pangan</v>
      </c>
      <c r="F32" s="43" t="s">
        <v>422</v>
      </c>
      <c r="G32" s="96" t="s">
        <v>438</v>
      </c>
      <c r="H32" s="53" t="s">
        <v>99</v>
      </c>
      <c r="I32" s="53" t="str">
        <f>INDEX(Table2[Kecamatan],MATCH(Table1[[#This Row],[KELURAHAN / DESA]],Table2[Kelurahan],0))</f>
        <v>Kertapati</v>
      </c>
      <c r="J32" s="53" t="str">
        <f>INDEX(Table2[Kabupaten/Kota],MATCH(Table1[[#This Row],[KECAMATAN]],Table2[Kecamatan],0))</f>
        <v>Palembang</v>
      </c>
      <c r="K32" s="95" t="str">
        <f>INDEX(Table2[Provinsi],MATCH(Table1[[#This Row],[KAB./KOTA]],Table2[Kabupaten/Kota],0))</f>
        <v>Sumatera Selatan</v>
      </c>
      <c r="L32" s="44">
        <v>120</v>
      </c>
      <c r="M32" s="53" t="s">
        <v>408</v>
      </c>
      <c r="N32" s="53" t="s">
        <v>439</v>
      </c>
      <c r="O32" s="68" t="s">
        <v>209</v>
      </c>
    </row>
    <row r="33" spans="2:15" ht="31" x14ac:dyDescent="0.35">
      <c r="B33" s="93">
        <f>IF(Table1[[#This Row],[TANGGAL]]="","",ROW(N29))</f>
        <v>29</v>
      </c>
      <c r="C33" s="94">
        <v>46087</v>
      </c>
      <c r="D33" s="95" t="s">
        <v>355</v>
      </c>
      <c r="E33" s="52" t="str">
        <f>INDEX(Table5[KATEGORI PROGRAM],MATCH(Table1[[#This Row],[NAMA PROGRAM]],Table5[NAMA PROGRAM],0))</f>
        <v>Respon Bencana (Recovery)</v>
      </c>
      <c r="F33" s="43" t="s">
        <v>520</v>
      </c>
      <c r="G33" s="96" t="s">
        <v>521</v>
      </c>
      <c r="H33" s="53" t="s">
        <v>312</v>
      </c>
      <c r="I33" s="53" t="str">
        <f>INDEX(Table2[Kecamatan],MATCH(Table1[[#This Row],[KELURAHAN / DESA]],Table2[Kelurahan],0))</f>
        <v>Rantau</v>
      </c>
      <c r="J33" s="53" t="str">
        <f>INDEX(Table2[Kabupaten/Kota],MATCH(Table1[[#This Row],[KECAMATAN]],Table2[Kecamatan],0))</f>
        <v>Aceh Tamiang</v>
      </c>
      <c r="K33" s="95" t="str">
        <f>INDEX(Table2[Provinsi],MATCH(Table1[[#This Row],[KAB./KOTA]],Table2[Kabupaten/Kota],0))</f>
        <v>Nangroe Aceh Darussalam</v>
      </c>
      <c r="L33" s="44">
        <v>350</v>
      </c>
      <c r="M33" s="53" t="s">
        <v>510</v>
      </c>
      <c r="N33" s="53" t="s">
        <v>508</v>
      </c>
      <c r="O33" s="68" t="s">
        <v>220</v>
      </c>
    </row>
    <row r="34" spans="2:15" ht="31" x14ac:dyDescent="0.35">
      <c r="B34" s="93">
        <f>IF(Table1[[#This Row],[TANGGAL]]="","",ROW(N30))</f>
        <v>30</v>
      </c>
      <c r="C34" s="94">
        <v>46087</v>
      </c>
      <c r="D34" s="95" t="s">
        <v>505</v>
      </c>
      <c r="E34" s="52" t="str">
        <f>INDEX(Table5[KATEGORI PROGRAM],MATCH(Table1[[#This Row],[NAMA PROGRAM]],Table5[NAMA PROGRAM],0))</f>
        <v>Respon Bencana (Recovery)</v>
      </c>
      <c r="F34" s="43" t="s">
        <v>520</v>
      </c>
      <c r="G34" s="96" t="s">
        <v>521</v>
      </c>
      <c r="H34" s="53" t="s">
        <v>312</v>
      </c>
      <c r="I34" s="53" t="str">
        <f>INDEX(Table2[Kecamatan],MATCH(Table1[[#This Row],[KELURAHAN / DESA]],Table2[Kelurahan],0))</f>
        <v>Rantau</v>
      </c>
      <c r="J34" s="53" t="str">
        <f>INDEX(Table2[Kabupaten/Kota],MATCH(Table1[[#This Row],[KECAMATAN]],Table2[Kecamatan],0))</f>
        <v>Aceh Tamiang</v>
      </c>
      <c r="K34" s="95" t="str">
        <f>INDEX(Table2[Provinsi],MATCH(Table1[[#This Row],[KAB./KOTA]],Table2[Kabupaten/Kota],0))</f>
        <v>Nangroe Aceh Darussalam</v>
      </c>
      <c r="L34" s="44">
        <v>54</v>
      </c>
      <c r="M34" s="53" t="s">
        <v>522</v>
      </c>
      <c r="N34" s="53" t="s">
        <v>508</v>
      </c>
      <c r="O34" s="68" t="s">
        <v>220</v>
      </c>
    </row>
    <row r="35" spans="2:15" ht="31" x14ac:dyDescent="0.35">
      <c r="B35" s="93">
        <f>IF(Table1[[#This Row],[TANGGAL]]="","",ROW(N31))</f>
        <v>31</v>
      </c>
      <c r="C35" s="94">
        <v>46087</v>
      </c>
      <c r="D35" s="95" t="s">
        <v>390</v>
      </c>
      <c r="E35" s="52" t="str">
        <f>INDEX(Table5[KATEGORI PROGRAM],MATCH(Table1[[#This Row],[NAMA PROGRAM]],Table5[NAMA PROGRAM],0))</f>
        <v>Syiar &amp; Dakwah</v>
      </c>
      <c r="F35" s="43" t="s">
        <v>444</v>
      </c>
      <c r="G35" s="96" t="s">
        <v>445</v>
      </c>
      <c r="H35" s="53" t="s">
        <v>42</v>
      </c>
      <c r="I35" s="53" t="str">
        <f>INDEX(Table2[Kecamatan],MATCH(Table1[[#This Row],[KELURAHAN / DESA]],Table2[Kelurahan],0))</f>
        <v>Gandus</v>
      </c>
      <c r="J35" s="53" t="str">
        <f>INDEX(Table2[Kabupaten/Kota],MATCH(Table1[[#This Row],[KECAMATAN]],Table2[Kecamatan],0))</f>
        <v>Palembang</v>
      </c>
      <c r="K35" s="95" t="str">
        <f>INDEX(Table2[Provinsi],MATCH(Table1[[#This Row],[KAB./KOTA]],Table2[Kabupaten/Kota],0))</f>
        <v>Sumatera Selatan</v>
      </c>
      <c r="L35" s="44">
        <v>150</v>
      </c>
      <c r="M35" s="53" t="s">
        <v>446</v>
      </c>
      <c r="N35" s="53" t="s">
        <v>447</v>
      </c>
      <c r="O35" s="68" t="s">
        <v>216</v>
      </c>
    </row>
    <row r="36" spans="2:15" ht="29" x14ac:dyDescent="0.35">
      <c r="B36" s="93">
        <f>IF(Table1[[#This Row],[TANGGAL]]="","",ROW(N32))</f>
        <v>32</v>
      </c>
      <c r="C36" s="94">
        <v>46087</v>
      </c>
      <c r="D36" s="95" t="s">
        <v>389</v>
      </c>
      <c r="E36" s="52" t="str">
        <f>INDEX(Table5[KATEGORI PROGRAM],MATCH(Table1[[#This Row],[NAMA PROGRAM]],Table5[NAMA PROGRAM],0))</f>
        <v>Pangan</v>
      </c>
      <c r="F36" s="43" t="s">
        <v>448</v>
      </c>
      <c r="G36" s="96" t="s">
        <v>449</v>
      </c>
      <c r="H36" s="53" t="s">
        <v>91</v>
      </c>
      <c r="I36" s="53" t="str">
        <f>INDEX(Table2[Kecamatan],MATCH(Table1[[#This Row],[KELURAHAN / DESA]],Table2[Kelurahan],0))</f>
        <v>Kemuning</v>
      </c>
      <c r="J36" s="53" t="str">
        <f>INDEX(Table2[Kabupaten/Kota],MATCH(Table1[[#This Row],[KECAMATAN]],Table2[Kecamatan],0))</f>
        <v>Palembang</v>
      </c>
      <c r="K36" s="95" t="str">
        <f>INDEX(Table2[Provinsi],MATCH(Table1[[#This Row],[KAB./KOTA]],Table2[Kabupaten/Kota],0))</f>
        <v>Sumatera Selatan</v>
      </c>
      <c r="L36" s="44">
        <v>50</v>
      </c>
      <c r="M36" s="53">
        <v>4</v>
      </c>
      <c r="N36" s="53" t="s">
        <v>405</v>
      </c>
      <c r="O36" s="68" t="s">
        <v>212</v>
      </c>
    </row>
    <row r="37" spans="2:15" ht="29" x14ac:dyDescent="0.35">
      <c r="B37" s="93">
        <f>IF(Table1[[#This Row],[TANGGAL]]="","",ROW(N33))</f>
        <v>33</v>
      </c>
      <c r="C37" s="94">
        <v>46088</v>
      </c>
      <c r="D37" s="95" t="s">
        <v>388</v>
      </c>
      <c r="E37" s="52" t="str">
        <f>INDEX(Table5[KATEGORI PROGRAM],MATCH(Table1[[#This Row],[NAMA PROGRAM]],Table5[NAMA PROGRAM],0))</f>
        <v>Pangan</v>
      </c>
      <c r="F37" s="43" t="s">
        <v>414</v>
      </c>
      <c r="G37" s="96" t="s">
        <v>415</v>
      </c>
      <c r="H37" s="53" t="s">
        <v>82</v>
      </c>
      <c r="I37" s="53" t="str">
        <f>INDEX(Table2[Kecamatan],MATCH(Table1[[#This Row],[KELURAHAN / DESA]],Table2[Kelurahan],0))</f>
        <v>Jakabaring</v>
      </c>
      <c r="J37" s="53" t="str">
        <f>INDEX(Table2[Kabupaten/Kota],MATCH(Table1[[#This Row],[KECAMATAN]],Table2[Kecamatan],0))</f>
        <v>Palembang</v>
      </c>
      <c r="K37" s="95" t="str">
        <f>INDEX(Table2[Provinsi],MATCH(Table1[[#This Row],[KAB./KOTA]],Table2[Kabupaten/Kota],0))</f>
        <v>Sumatera Selatan</v>
      </c>
      <c r="L37" s="44">
        <v>100</v>
      </c>
      <c r="M37" s="53" t="s">
        <v>404</v>
      </c>
      <c r="N37" s="53" t="s">
        <v>421</v>
      </c>
      <c r="O37" s="68" t="s">
        <v>206</v>
      </c>
    </row>
    <row r="38" spans="2:15" ht="29" x14ac:dyDescent="0.35">
      <c r="B38" s="93">
        <f>IF(Table1[[#This Row],[TANGGAL]]="","",ROW(N34))</f>
        <v>34</v>
      </c>
      <c r="C38" s="94">
        <v>46088</v>
      </c>
      <c r="D38" s="95" t="s">
        <v>388</v>
      </c>
      <c r="E38" s="52" t="str">
        <f>INDEX(Table5[KATEGORI PROGRAM],MATCH(Table1[[#This Row],[NAMA PROGRAM]],Table5[NAMA PROGRAM],0))</f>
        <v>Pangan</v>
      </c>
      <c r="F38" s="43" t="s">
        <v>422</v>
      </c>
      <c r="G38" s="96" t="s">
        <v>423</v>
      </c>
      <c r="H38" s="53" t="s">
        <v>99</v>
      </c>
      <c r="I38" s="53" t="str">
        <f>INDEX(Table2[Kecamatan],MATCH(Table1[[#This Row],[KELURAHAN / DESA]],Table2[Kelurahan],0))</f>
        <v>Kertapati</v>
      </c>
      <c r="J38" s="53" t="str">
        <f>INDEX(Table2[Kabupaten/Kota],MATCH(Table1[[#This Row],[KECAMATAN]],Table2[Kecamatan],0))</f>
        <v>Palembang</v>
      </c>
      <c r="K38" s="95" t="str">
        <f>INDEX(Table2[Provinsi],MATCH(Table1[[#This Row],[KAB./KOTA]],Table2[Kabupaten/Kota],0))</f>
        <v>Sumatera Selatan</v>
      </c>
      <c r="L38" s="44">
        <v>125</v>
      </c>
      <c r="M38" s="53" t="s">
        <v>408</v>
      </c>
      <c r="N38" s="53" t="s">
        <v>427</v>
      </c>
      <c r="O38" s="68" t="s">
        <v>206</v>
      </c>
    </row>
    <row r="39" spans="2:15" ht="31" x14ac:dyDescent="0.35">
      <c r="B39" s="93">
        <f>IF(Table1[[#This Row],[TANGGAL]]="","",ROW(N35))</f>
        <v>35</v>
      </c>
      <c r="C39" s="94">
        <v>46088</v>
      </c>
      <c r="D39" s="95" t="s">
        <v>393</v>
      </c>
      <c r="E39" s="52" t="str">
        <f>INDEX(Table5[KATEGORI PROGRAM],MATCH(Table1[[#This Row],[NAMA PROGRAM]],Table5[NAMA PROGRAM],0))</f>
        <v>Event Sosial</v>
      </c>
      <c r="F39" s="43" t="s">
        <v>480</v>
      </c>
      <c r="G39" s="96" t="s">
        <v>485</v>
      </c>
      <c r="H39" s="53" t="s">
        <v>47</v>
      </c>
      <c r="I39" s="53" t="str">
        <f>INDEX(Table2[Kecamatan],MATCH(Table1[[#This Row],[KELURAHAN / DESA]],Table2[Kelurahan],0))</f>
        <v>Ilir Barat I</v>
      </c>
      <c r="J39" s="53" t="str">
        <f>INDEX(Table2[Kabupaten/Kota],MATCH(Table1[[#This Row],[KECAMATAN]],Table2[Kecamatan],0))</f>
        <v>Palembang</v>
      </c>
      <c r="K39" s="95" t="str">
        <f>INDEX(Table2[Provinsi],MATCH(Table1[[#This Row],[KAB./KOTA]],Table2[Kabupaten/Kota],0))</f>
        <v>Sumatera Selatan</v>
      </c>
      <c r="L39" s="44">
        <v>300</v>
      </c>
      <c r="M39" s="53" t="s">
        <v>393</v>
      </c>
      <c r="N39" s="53" t="s">
        <v>481</v>
      </c>
      <c r="O39" s="68" t="s">
        <v>215</v>
      </c>
    </row>
    <row r="40" spans="2:15" ht="29" x14ac:dyDescent="0.35">
      <c r="B40" s="93">
        <f>IF(Table1[[#This Row],[TANGGAL]]="","",ROW(N36))</f>
        <v>36</v>
      </c>
      <c r="C40" s="94">
        <v>46088</v>
      </c>
      <c r="D40" s="95" t="s">
        <v>387</v>
      </c>
      <c r="E40" s="52" t="str">
        <f>INDEX(Table5[KATEGORI PROGRAM],MATCH(Table1[[#This Row],[NAMA PROGRAM]],Table5[NAMA PROGRAM],0))</f>
        <v>Pangan</v>
      </c>
      <c r="F40" s="43" t="s">
        <v>402</v>
      </c>
      <c r="G40" s="96" t="s">
        <v>403</v>
      </c>
      <c r="H40" s="53" t="s">
        <v>49</v>
      </c>
      <c r="I40" s="53" t="str">
        <f>INDEX(Table2[Kecamatan],MATCH(Table1[[#This Row],[KELURAHAN / DESA]],Table2[Kelurahan],0))</f>
        <v>Ilir Barat I</v>
      </c>
      <c r="J40" s="53" t="str">
        <f>INDEX(Table2[Kabupaten/Kota],MATCH(Table1[[#This Row],[KECAMATAN]],Table2[Kecamatan],0))</f>
        <v>Palembang</v>
      </c>
      <c r="K40" s="95" t="str">
        <f>INDEX(Table2[Provinsi],MATCH(Table1[[#This Row],[KAB./KOTA]],Table2[Kabupaten/Kota],0))</f>
        <v>Sumatera Selatan</v>
      </c>
      <c r="L40" s="44">
        <v>50</v>
      </c>
      <c r="M40" s="53" t="s">
        <v>404</v>
      </c>
      <c r="N40" s="53" t="s">
        <v>405</v>
      </c>
      <c r="O40" s="68" t="s">
        <v>212</v>
      </c>
    </row>
    <row r="41" spans="2:15" ht="31" x14ac:dyDescent="0.35">
      <c r="B41" s="93">
        <f>IF(Table1[[#This Row],[TANGGAL]]="","",ROW(N37))</f>
        <v>37</v>
      </c>
      <c r="C41" s="94">
        <v>46089</v>
      </c>
      <c r="D41" s="95" t="s">
        <v>384</v>
      </c>
      <c r="E41" s="52" t="str">
        <f>INDEX(Table5[KATEGORI PROGRAM],MATCH(Table1[[#This Row],[NAMA PROGRAM]],Table5[NAMA PROGRAM],0))</f>
        <v>Event Sosial</v>
      </c>
      <c r="F41" s="43" t="s">
        <v>450</v>
      </c>
      <c r="G41" s="96" t="s">
        <v>451</v>
      </c>
      <c r="H41" s="53" t="s">
        <v>83</v>
      </c>
      <c r="I41" s="53" t="str">
        <f>INDEX(Table2[Kecamatan],MATCH(Table1[[#This Row],[KELURAHAN / DESA]],Table2[Kelurahan],0))</f>
        <v>Jakabaring</v>
      </c>
      <c r="J41" s="53" t="str">
        <f>INDEX(Table2[Kabupaten/Kota],MATCH(Table1[[#This Row],[KECAMATAN]],Table2[Kecamatan],0))</f>
        <v>Palembang</v>
      </c>
      <c r="K41" s="95" t="str">
        <f>INDEX(Table2[Provinsi],MATCH(Table1[[#This Row],[KAB./KOTA]],Table2[Kabupaten/Kota],0))</f>
        <v>Sumatera Selatan</v>
      </c>
      <c r="L41" s="44">
        <v>200</v>
      </c>
      <c r="M41" s="53">
        <v>15</v>
      </c>
      <c r="N41" s="53" t="s">
        <v>401</v>
      </c>
      <c r="O41" s="68" t="s">
        <v>220</v>
      </c>
    </row>
    <row r="42" spans="2:15" ht="29" x14ac:dyDescent="0.35">
      <c r="B42" s="93">
        <f>IF(Table1[[#This Row],[TANGGAL]]="","",ROW(N38))</f>
        <v>38</v>
      </c>
      <c r="C42" s="94">
        <v>46090</v>
      </c>
      <c r="D42" s="95" t="s">
        <v>388</v>
      </c>
      <c r="E42" s="52" t="str">
        <f>INDEX(Table5[KATEGORI PROGRAM],MATCH(Table1[[#This Row],[NAMA PROGRAM]],Table5[NAMA PROGRAM],0))</f>
        <v>Pangan</v>
      </c>
      <c r="F42" s="43" t="s">
        <v>422</v>
      </c>
      <c r="G42" s="96" t="s">
        <v>438</v>
      </c>
      <c r="H42" s="53" t="s">
        <v>99</v>
      </c>
      <c r="I42" s="53" t="str">
        <f>INDEX(Table2[Kecamatan],MATCH(Table1[[#This Row],[KELURAHAN / DESA]],Table2[Kelurahan],0))</f>
        <v>Kertapati</v>
      </c>
      <c r="J42" s="53" t="str">
        <f>INDEX(Table2[Kabupaten/Kota],MATCH(Table1[[#This Row],[KECAMATAN]],Table2[Kecamatan],0))</f>
        <v>Palembang</v>
      </c>
      <c r="K42" s="95" t="str">
        <f>INDEX(Table2[Provinsi],MATCH(Table1[[#This Row],[KAB./KOTA]],Table2[Kabupaten/Kota],0))</f>
        <v>Sumatera Selatan</v>
      </c>
      <c r="L42" s="44">
        <v>100</v>
      </c>
      <c r="M42" s="53" t="s">
        <v>404</v>
      </c>
      <c r="N42" s="53" t="s">
        <v>409</v>
      </c>
      <c r="O42" s="68" t="s">
        <v>209</v>
      </c>
    </row>
    <row r="43" spans="2:15" ht="29" x14ac:dyDescent="0.35">
      <c r="B43" s="93">
        <f>IF(Table1[[#This Row],[TANGGAL]]="","",ROW(N39))</f>
        <v>39</v>
      </c>
      <c r="C43" s="94">
        <v>46090</v>
      </c>
      <c r="D43" s="95" t="s">
        <v>20</v>
      </c>
      <c r="E43" s="52" t="str">
        <f>INDEX(Table5[KATEGORI PROGRAM],MATCH(Table1[[#This Row],[NAMA PROGRAM]],Table5[NAMA PROGRAM],0))</f>
        <v>Pangan</v>
      </c>
      <c r="F43" s="43" t="s">
        <v>422</v>
      </c>
      <c r="G43" s="96" t="s">
        <v>438</v>
      </c>
      <c r="H43" s="53" t="s">
        <v>99</v>
      </c>
      <c r="I43" s="53" t="str">
        <f>INDEX(Table2[Kecamatan],MATCH(Table1[[#This Row],[KELURAHAN / DESA]],Table2[Kelurahan],0))</f>
        <v>Kertapati</v>
      </c>
      <c r="J43" s="53" t="str">
        <f>INDEX(Table2[Kabupaten/Kota],MATCH(Table1[[#This Row],[KECAMATAN]],Table2[Kecamatan],0))</f>
        <v>Palembang</v>
      </c>
      <c r="K43" s="95" t="str">
        <f>INDEX(Table2[Provinsi],MATCH(Table1[[#This Row],[KAB./KOTA]],Table2[Kabupaten/Kota],0))</f>
        <v>Sumatera Selatan</v>
      </c>
      <c r="L43" s="44">
        <v>100</v>
      </c>
      <c r="M43" s="53" t="s">
        <v>452</v>
      </c>
      <c r="N43" s="53" t="s">
        <v>409</v>
      </c>
      <c r="O43" s="68" t="s">
        <v>209</v>
      </c>
    </row>
    <row r="44" spans="2:15" ht="31" x14ac:dyDescent="0.35">
      <c r="B44" s="93">
        <f>IF(Table1[[#This Row],[TANGGAL]]="","",ROW(N40))</f>
        <v>40</v>
      </c>
      <c r="C44" s="94">
        <v>46091</v>
      </c>
      <c r="D44" s="95" t="s">
        <v>393</v>
      </c>
      <c r="E44" s="52" t="str">
        <f>INDEX(Table5[KATEGORI PROGRAM],MATCH(Table1[[#This Row],[NAMA PROGRAM]],Table5[NAMA PROGRAM],0))</f>
        <v>Event Sosial</v>
      </c>
      <c r="F44" s="43" t="s">
        <v>483</v>
      </c>
      <c r="G44" s="96" t="s">
        <v>482</v>
      </c>
      <c r="H44" s="53" t="s">
        <v>77</v>
      </c>
      <c r="I44" s="53" t="str">
        <f>INDEX(Table2[Kecamatan],MATCH(Table1[[#This Row],[KELURAHAN / DESA]],Table2[Kelurahan],0))</f>
        <v>Ilir Timur III</v>
      </c>
      <c r="J44" s="53" t="str">
        <f>INDEX(Table2[Kabupaten/Kota],MATCH(Table1[[#This Row],[KECAMATAN]],Table2[Kecamatan],0))</f>
        <v>Palembang</v>
      </c>
      <c r="K44" s="95" t="str">
        <f>INDEX(Table2[Provinsi],MATCH(Table1[[#This Row],[KAB./KOTA]],Table2[Kabupaten/Kota],0))</f>
        <v>Sumatera Selatan</v>
      </c>
      <c r="L44" s="44">
        <v>300</v>
      </c>
      <c r="M44" s="53" t="s">
        <v>393</v>
      </c>
      <c r="N44" s="53" t="s">
        <v>481</v>
      </c>
      <c r="O44" s="68" t="s">
        <v>215</v>
      </c>
    </row>
    <row r="45" spans="2:15" ht="31" x14ac:dyDescent="0.35">
      <c r="B45" s="93">
        <f>IF(Table1[[#This Row],[TANGGAL]]="","",ROW(N41))</f>
        <v>41</v>
      </c>
      <c r="C45" s="94">
        <v>46092</v>
      </c>
      <c r="D45" s="95" t="s">
        <v>153</v>
      </c>
      <c r="E45" s="52" t="str">
        <f>INDEX(Table5[KATEGORI PROGRAM],MATCH(Table1[[#This Row],[NAMA PROGRAM]],Table5[NAMA PROGRAM],0))</f>
        <v>Pangan</v>
      </c>
      <c r="F45" s="43" t="s">
        <v>456</v>
      </c>
      <c r="G45" s="96" t="s">
        <v>457</v>
      </c>
      <c r="H45" s="53" t="s">
        <v>48</v>
      </c>
      <c r="I45" s="53" t="str">
        <f>INDEX(Table2[Kecamatan],MATCH(Table1[[#This Row],[KELURAHAN / DESA]],Table2[Kelurahan],0))</f>
        <v>Ilir Barat I</v>
      </c>
      <c r="J45" s="53" t="str">
        <f>INDEX(Table2[Kabupaten/Kota],MATCH(Table1[[#This Row],[KECAMATAN]],Table2[Kecamatan],0))</f>
        <v>Palembang</v>
      </c>
      <c r="K45" s="95" t="str">
        <f>INDEX(Table2[Provinsi],MATCH(Table1[[#This Row],[KAB./KOTA]],Table2[Kabupaten/Kota],0))</f>
        <v>Sumatera Selatan</v>
      </c>
      <c r="L45" s="44">
        <v>160</v>
      </c>
      <c r="M45" s="53" t="s">
        <v>458</v>
      </c>
      <c r="N45" s="53" t="s">
        <v>409</v>
      </c>
      <c r="O45" s="68" t="s">
        <v>208</v>
      </c>
    </row>
    <row r="46" spans="2:15" ht="31" x14ac:dyDescent="0.35">
      <c r="B46" s="93">
        <f>IF(Table1[[#This Row],[TANGGAL]]="","",ROW(N42))</f>
        <v>42</v>
      </c>
      <c r="C46" s="94">
        <v>46092</v>
      </c>
      <c r="D46" s="95" t="s">
        <v>388</v>
      </c>
      <c r="E46" s="52" t="str">
        <f>INDEX(Table5[KATEGORI PROGRAM],MATCH(Table1[[#This Row],[NAMA PROGRAM]],Table5[NAMA PROGRAM],0))</f>
        <v>Pangan</v>
      </c>
      <c r="F46" s="43" t="s">
        <v>459</v>
      </c>
      <c r="G46" s="96" t="s">
        <v>400</v>
      </c>
      <c r="H46" s="53" t="s">
        <v>224</v>
      </c>
      <c r="I46" s="53" t="str">
        <f>INDEX(Table2[Kecamatan],MATCH(Table1[[#This Row],[KELURAHAN / DESA]],Table2[Kelurahan],0))</f>
        <v>Kemuning</v>
      </c>
      <c r="J46" s="53" t="str">
        <f>INDEX(Table2[Kabupaten/Kota],MATCH(Table1[[#This Row],[KECAMATAN]],Table2[Kecamatan],0))</f>
        <v>Palembang</v>
      </c>
      <c r="K46" s="95" t="str">
        <f>INDEX(Table2[Provinsi],MATCH(Table1[[#This Row],[KAB./KOTA]],Table2[Kabupaten/Kota],0))</f>
        <v>Sumatera Selatan</v>
      </c>
      <c r="L46" s="44">
        <v>135</v>
      </c>
      <c r="M46" s="53" t="s">
        <v>404</v>
      </c>
      <c r="N46" s="53" t="s">
        <v>409</v>
      </c>
      <c r="O46" s="68" t="s">
        <v>212</v>
      </c>
    </row>
    <row r="47" spans="2:15" ht="29" x14ac:dyDescent="0.35">
      <c r="B47" s="93">
        <f>IF(Table1[[#This Row],[TANGGAL]]="","",ROW(N43))</f>
        <v>43</v>
      </c>
      <c r="C47" s="94">
        <v>46092</v>
      </c>
      <c r="D47" s="95" t="s">
        <v>3</v>
      </c>
      <c r="E47" s="52" t="str">
        <f>INDEX(Table5[KATEGORI PROGRAM],MATCH(Table1[[#This Row],[NAMA PROGRAM]],Table5[NAMA PROGRAM],0))</f>
        <v>Pendidikan</v>
      </c>
      <c r="F47" s="43" t="s">
        <v>414</v>
      </c>
      <c r="G47" s="96" t="s">
        <v>415</v>
      </c>
      <c r="H47" s="53" t="s">
        <v>82</v>
      </c>
      <c r="I47" s="53" t="str">
        <f>INDEX(Table2[Kecamatan],MATCH(Table1[[#This Row],[KELURAHAN / DESA]],Table2[Kelurahan],0))</f>
        <v>Jakabaring</v>
      </c>
      <c r="J47" s="53" t="str">
        <f>INDEX(Table2[Kabupaten/Kota],MATCH(Table1[[#This Row],[KECAMATAN]],Table2[Kecamatan],0))</f>
        <v>Palembang</v>
      </c>
      <c r="K47" s="95" t="str">
        <f>INDEX(Table2[Provinsi],MATCH(Table1[[#This Row],[KAB./KOTA]],Table2[Kabupaten/Kota],0))</f>
        <v>Sumatera Selatan</v>
      </c>
      <c r="L47" s="44">
        <v>25</v>
      </c>
      <c r="M47" s="53" t="s">
        <v>9</v>
      </c>
      <c r="N47" s="53" t="s">
        <v>421</v>
      </c>
      <c r="O47" s="68" t="s">
        <v>206</v>
      </c>
    </row>
    <row r="48" spans="2:15" ht="31" x14ac:dyDescent="0.35">
      <c r="B48" s="93">
        <f>IF(Table1[[#This Row],[TANGGAL]]="","",ROW(N44))</f>
        <v>44</v>
      </c>
      <c r="C48" s="94">
        <v>46092</v>
      </c>
      <c r="D48" s="95" t="s">
        <v>393</v>
      </c>
      <c r="E48" s="52" t="str">
        <f>INDEX(Table5[KATEGORI PROGRAM],MATCH(Table1[[#This Row],[NAMA PROGRAM]],Table5[NAMA PROGRAM],0))</f>
        <v>Event Sosial</v>
      </c>
      <c r="F48" s="43" t="s">
        <v>486</v>
      </c>
      <c r="G48" s="96" t="s">
        <v>484</v>
      </c>
      <c r="H48" s="53" t="s">
        <v>47</v>
      </c>
      <c r="I48" s="53" t="str">
        <f>INDEX(Table2[Kecamatan],MATCH(Table1[[#This Row],[KELURAHAN / DESA]],Table2[Kelurahan],0))</f>
        <v>Ilir Barat I</v>
      </c>
      <c r="J48" s="53" t="str">
        <f>INDEX(Table2[Kabupaten/Kota],MATCH(Table1[[#This Row],[KECAMATAN]],Table2[Kecamatan],0))</f>
        <v>Palembang</v>
      </c>
      <c r="K48" s="95" t="str">
        <f>INDEX(Table2[Provinsi],MATCH(Table1[[#This Row],[KAB./KOTA]],Table2[Kabupaten/Kota],0))</f>
        <v>Sumatera Selatan</v>
      </c>
      <c r="L48" s="44">
        <v>400</v>
      </c>
      <c r="M48" s="53" t="s">
        <v>393</v>
      </c>
      <c r="N48" s="53" t="s">
        <v>481</v>
      </c>
      <c r="O48" s="68" t="s">
        <v>215</v>
      </c>
    </row>
    <row r="49" spans="2:15" ht="31" x14ac:dyDescent="0.35">
      <c r="B49" s="93">
        <f>IF(Table1[[#This Row],[TANGGAL]]="","",ROW(N45))</f>
        <v>45</v>
      </c>
      <c r="C49" s="94">
        <v>46093</v>
      </c>
      <c r="D49" s="95" t="s">
        <v>153</v>
      </c>
      <c r="E49" s="52" t="str">
        <f>INDEX(Table5[KATEGORI PROGRAM],MATCH(Table1[[#This Row],[NAMA PROGRAM]],Table5[NAMA PROGRAM],0))</f>
        <v>Pangan</v>
      </c>
      <c r="F49" s="43" t="s">
        <v>463</v>
      </c>
      <c r="G49" s="96" t="s">
        <v>460</v>
      </c>
      <c r="H49" s="53" t="s">
        <v>135</v>
      </c>
      <c r="I49" s="53" t="str">
        <f>INDEX(Table2[Kecamatan],MATCH(Table1[[#This Row],[KELURAHAN / DESA]],Table2[Kelurahan],0))</f>
        <v>Sukarami</v>
      </c>
      <c r="J49" s="53" t="str">
        <f>INDEX(Table2[Kabupaten/Kota],MATCH(Table1[[#This Row],[KECAMATAN]],Table2[Kecamatan],0))</f>
        <v>Palembang</v>
      </c>
      <c r="K49" s="95" t="str">
        <f>INDEX(Table2[Provinsi],MATCH(Table1[[#This Row],[KAB./KOTA]],Table2[Kabupaten/Kota],0))</f>
        <v>Sumatera Selatan</v>
      </c>
      <c r="L49" s="44">
        <v>160</v>
      </c>
      <c r="M49" s="53" t="s">
        <v>458</v>
      </c>
      <c r="N49" s="53" t="s">
        <v>409</v>
      </c>
      <c r="O49" s="68" t="s">
        <v>208</v>
      </c>
    </row>
    <row r="50" spans="2:15" ht="31" x14ac:dyDescent="0.35">
      <c r="B50" s="93">
        <f>IF(Table1[[#This Row],[TANGGAL]]="","",ROW(N46))</f>
        <v>46</v>
      </c>
      <c r="C50" s="94">
        <v>46093</v>
      </c>
      <c r="D50" s="95" t="s">
        <v>153</v>
      </c>
      <c r="E50" s="52" t="str">
        <f>INDEX(Table5[KATEGORI PROGRAM],MATCH(Table1[[#This Row],[NAMA PROGRAM]],Table5[NAMA PROGRAM],0))</f>
        <v>Pangan</v>
      </c>
      <c r="F50" s="43" t="s">
        <v>464</v>
      </c>
      <c r="G50" s="96" t="s">
        <v>461</v>
      </c>
      <c r="H50" s="53" t="s">
        <v>135</v>
      </c>
      <c r="I50" s="53" t="str">
        <f>INDEX(Table2[Kecamatan],MATCH(Table1[[#This Row],[KELURAHAN / DESA]],Table2[Kelurahan],0))</f>
        <v>Sukarami</v>
      </c>
      <c r="J50" s="53" t="str">
        <f>INDEX(Table2[Kabupaten/Kota],MATCH(Table1[[#This Row],[KECAMATAN]],Table2[Kecamatan],0))</f>
        <v>Palembang</v>
      </c>
      <c r="K50" s="95" t="str">
        <f>INDEX(Table2[Provinsi],MATCH(Table1[[#This Row],[KAB./KOTA]],Table2[Kabupaten/Kota],0))</f>
        <v>Sumatera Selatan</v>
      </c>
      <c r="L50" s="44">
        <v>200</v>
      </c>
      <c r="M50" s="53" t="s">
        <v>465</v>
      </c>
      <c r="N50" s="53" t="s">
        <v>409</v>
      </c>
      <c r="O50" s="68" t="s">
        <v>208</v>
      </c>
    </row>
    <row r="51" spans="2:15" ht="31" x14ac:dyDescent="0.35">
      <c r="B51" s="93">
        <f>IF(Table1[[#This Row],[TANGGAL]]="","",ROW(N47))</f>
        <v>47</v>
      </c>
      <c r="C51" s="94">
        <v>46093</v>
      </c>
      <c r="D51" s="95" t="s">
        <v>153</v>
      </c>
      <c r="E51" s="52" t="str">
        <f>INDEX(Table5[KATEGORI PROGRAM],MATCH(Table1[[#This Row],[NAMA PROGRAM]],Table5[NAMA PROGRAM],0))</f>
        <v>Pangan</v>
      </c>
      <c r="F51" s="43" t="s">
        <v>453</v>
      </c>
      <c r="G51" s="96" t="s">
        <v>454</v>
      </c>
      <c r="H51" s="53" t="s">
        <v>129</v>
      </c>
      <c r="I51" s="53" t="str">
        <f>INDEX(Table2[Kecamatan],MATCH(Table1[[#This Row],[KELURAHAN / DESA]],Table2[Kelurahan],0))</f>
        <v>Sukarami</v>
      </c>
      <c r="J51" s="53" t="str">
        <f>INDEX(Table2[Kabupaten/Kota],MATCH(Table1[[#This Row],[KECAMATAN]],Table2[Kecamatan],0))</f>
        <v>Palembang</v>
      </c>
      <c r="K51" s="95" t="str">
        <f>INDEX(Table2[Provinsi],MATCH(Table1[[#This Row],[KAB./KOTA]],Table2[Kabupaten/Kota],0))</f>
        <v>Sumatera Selatan</v>
      </c>
      <c r="L51" s="44">
        <v>280</v>
      </c>
      <c r="M51" s="53" t="s">
        <v>455</v>
      </c>
      <c r="N51" s="53" t="s">
        <v>409</v>
      </c>
      <c r="O51" s="68" t="s">
        <v>208</v>
      </c>
    </row>
    <row r="52" spans="2:15" ht="31" x14ac:dyDescent="0.35">
      <c r="B52" s="93">
        <f>IF(Table1[[#This Row],[TANGGAL]]="","",ROW(N48))</f>
        <v>48</v>
      </c>
      <c r="C52" s="94">
        <v>46093</v>
      </c>
      <c r="D52" s="95" t="s">
        <v>240</v>
      </c>
      <c r="E52" s="52" t="str">
        <f>INDEX(Table5[KATEGORI PROGRAM],MATCH(Table1[[#This Row],[NAMA PROGRAM]],Table5[NAMA PROGRAM],0))</f>
        <v>Lingkungan</v>
      </c>
      <c r="F52" s="43" t="s">
        <v>422</v>
      </c>
      <c r="G52" s="96" t="s">
        <v>462</v>
      </c>
      <c r="H52" s="53" t="s">
        <v>99</v>
      </c>
      <c r="I52" s="53" t="str">
        <f>INDEX(Table2[Kecamatan],MATCH(Table1[[#This Row],[KELURAHAN / DESA]],Table2[Kelurahan],0))</f>
        <v>Kertapati</v>
      </c>
      <c r="J52" s="53" t="str">
        <f>INDEX(Table2[Kabupaten/Kota],MATCH(Table1[[#This Row],[KECAMATAN]],Table2[Kecamatan],0))</f>
        <v>Palembang</v>
      </c>
      <c r="K52" s="95" t="str">
        <f>INDEX(Table2[Provinsi],MATCH(Table1[[#This Row],[KAB./KOTA]],Table2[Kabupaten/Kota],0))</f>
        <v>Sumatera Selatan</v>
      </c>
      <c r="L52" s="44">
        <v>1000</v>
      </c>
      <c r="M52" s="53" t="s">
        <v>468</v>
      </c>
      <c r="N52" s="53" t="s">
        <v>409</v>
      </c>
      <c r="O52" s="68" t="s">
        <v>220</v>
      </c>
    </row>
    <row r="53" spans="2:15" ht="29" x14ac:dyDescent="0.35">
      <c r="B53" s="93">
        <f>IF(Table1[[#This Row],[TANGGAL]]="","",ROW(N49))</f>
        <v>49</v>
      </c>
      <c r="C53" s="94">
        <v>46093</v>
      </c>
      <c r="D53" s="95" t="s">
        <v>6</v>
      </c>
      <c r="E53" s="52" t="str">
        <f>INDEX(Table5[KATEGORI PROGRAM],MATCH(Table1[[#This Row],[NAMA PROGRAM]],Table5[NAMA PROGRAM],0))</f>
        <v>Pendidikan</v>
      </c>
      <c r="F53" s="43" t="s">
        <v>424</v>
      </c>
      <c r="G53" s="96" t="s">
        <v>425</v>
      </c>
      <c r="H53" s="53" t="s">
        <v>96</v>
      </c>
      <c r="I53" s="53" t="str">
        <f>INDEX(Table2[Kecamatan],MATCH(Table1[[#This Row],[KELURAHAN / DESA]],Table2[Kelurahan],0))</f>
        <v>Kertapati</v>
      </c>
      <c r="J53" s="53" t="str">
        <f>INDEX(Table2[Kabupaten/Kota],MATCH(Table1[[#This Row],[KECAMATAN]],Table2[Kecamatan],0))</f>
        <v>Palembang</v>
      </c>
      <c r="K53" s="95" t="str">
        <f>INDEX(Table2[Provinsi],MATCH(Table1[[#This Row],[KAB./KOTA]],Table2[Kabupaten/Kota],0))</f>
        <v>Sumatera Selatan</v>
      </c>
      <c r="L53" s="44">
        <v>50</v>
      </c>
      <c r="M53" s="53" t="s">
        <v>9</v>
      </c>
      <c r="N53" s="53" t="s">
        <v>428</v>
      </c>
      <c r="O53" s="68" t="s">
        <v>206</v>
      </c>
    </row>
    <row r="54" spans="2:15" ht="31" x14ac:dyDescent="0.35">
      <c r="B54" s="93">
        <f>IF(Table1[[#This Row],[TANGGAL]]="","",ROW(N50))</f>
        <v>50</v>
      </c>
      <c r="C54" s="94">
        <v>46093</v>
      </c>
      <c r="D54" s="95" t="s">
        <v>393</v>
      </c>
      <c r="E54" s="52" t="str">
        <f>INDEX(Table5[KATEGORI PROGRAM],MATCH(Table1[[#This Row],[NAMA PROGRAM]],Table5[NAMA PROGRAM],0))</f>
        <v>Event Sosial</v>
      </c>
      <c r="F54" s="43" t="s">
        <v>488</v>
      </c>
      <c r="G54" s="96" t="s">
        <v>487</v>
      </c>
      <c r="H54" s="53" t="s">
        <v>89</v>
      </c>
      <c r="I54" s="53" t="str">
        <f>INDEX(Table2[Kecamatan],MATCH(Table1[[#This Row],[KELURAHAN / DESA]],Table2[Kelurahan],0))</f>
        <v>Kalidoni</v>
      </c>
      <c r="J54" s="53" t="str">
        <f>INDEX(Table2[Kabupaten/Kota],MATCH(Table1[[#This Row],[KECAMATAN]],Table2[Kecamatan],0))</f>
        <v>Banyuasin</v>
      </c>
      <c r="K54" s="95" t="str">
        <f>INDEX(Table2[Provinsi],MATCH(Table1[[#This Row],[KAB./KOTA]],Table2[Kabupaten/Kota],0))</f>
        <v>Sumatera Selatan</v>
      </c>
      <c r="L54" s="44">
        <v>400</v>
      </c>
      <c r="M54" s="53" t="s">
        <v>393</v>
      </c>
      <c r="N54" s="53" t="s">
        <v>481</v>
      </c>
      <c r="O54" s="68" t="s">
        <v>215</v>
      </c>
    </row>
    <row r="55" spans="2:15" ht="29" x14ac:dyDescent="0.35">
      <c r="B55" s="93">
        <f>IF(Table1[[#This Row],[TANGGAL]]="","",ROW(N51))</f>
        <v>51</v>
      </c>
      <c r="C55" s="94">
        <v>46094</v>
      </c>
      <c r="D55" s="95" t="s">
        <v>388</v>
      </c>
      <c r="E55" s="52" t="str">
        <f>INDEX(Table5[KATEGORI PROGRAM],MATCH(Table1[[#This Row],[NAMA PROGRAM]],Table5[NAMA PROGRAM],0))</f>
        <v>Pangan</v>
      </c>
      <c r="F55" s="43" t="s">
        <v>440</v>
      </c>
      <c r="G55" s="96" t="s">
        <v>441</v>
      </c>
      <c r="H55" s="53" t="s">
        <v>99</v>
      </c>
      <c r="I55" s="53" t="str">
        <f>INDEX(Table2[Kecamatan],MATCH(Table1[[#This Row],[KELURAHAN / DESA]],Table2[Kelurahan],0))</f>
        <v>Kertapati</v>
      </c>
      <c r="J55" s="53" t="str">
        <f>INDEX(Table2[Kabupaten/Kota],MATCH(Table1[[#This Row],[KECAMATAN]],Table2[Kecamatan],0))</f>
        <v>Palembang</v>
      </c>
      <c r="K55" s="95" t="str">
        <f>INDEX(Table2[Provinsi],MATCH(Table1[[#This Row],[KAB./KOTA]],Table2[Kabupaten/Kota],0))</f>
        <v>Sumatera Selatan</v>
      </c>
      <c r="L55" s="44">
        <v>110</v>
      </c>
      <c r="M55" s="53" t="s">
        <v>426</v>
      </c>
      <c r="N55" s="53" t="s">
        <v>409</v>
      </c>
      <c r="O55" s="68" t="s">
        <v>210</v>
      </c>
    </row>
    <row r="56" spans="2:15" ht="31" x14ac:dyDescent="0.35">
      <c r="B56" s="93">
        <f>IF(Table1[[#This Row],[TANGGAL]]="","",ROW(N52))</f>
        <v>52</v>
      </c>
      <c r="C56" s="94">
        <v>46094</v>
      </c>
      <c r="D56" s="95" t="s">
        <v>388</v>
      </c>
      <c r="E56" s="52" t="str">
        <f>INDEX(Table5[KATEGORI PROGRAM],MATCH(Table1[[#This Row],[NAMA PROGRAM]],Table5[NAMA PROGRAM],0))</f>
        <v>Pangan</v>
      </c>
      <c r="F56" s="43" t="s">
        <v>434</v>
      </c>
      <c r="G56" s="96" t="s">
        <v>435</v>
      </c>
      <c r="H56" s="53" t="s">
        <v>244</v>
      </c>
      <c r="I56" s="53" t="str">
        <f>INDEX(Table2[Kecamatan],MATCH(Table1[[#This Row],[KELURAHAN / DESA]],Table2[Kelurahan],0))</f>
        <v>Indralaya Utara</v>
      </c>
      <c r="J56" s="53" t="str">
        <f>INDEX(Table2[Kabupaten/Kota],MATCH(Table1[[#This Row],[KECAMATAN]],Table2[Kecamatan],0))</f>
        <v>Ogan Ilir</v>
      </c>
      <c r="K56" s="95" t="str">
        <f>INDEX(Table2[Provinsi],MATCH(Table1[[#This Row],[KAB./KOTA]],Table2[Kabupaten/Kota],0))</f>
        <v>Sumatera Selatan</v>
      </c>
      <c r="L56" s="44">
        <v>100</v>
      </c>
      <c r="M56" s="53" t="s">
        <v>426</v>
      </c>
      <c r="N56" s="53" t="s">
        <v>470</v>
      </c>
      <c r="O56" s="68" t="s">
        <v>210</v>
      </c>
    </row>
    <row r="57" spans="2:15" ht="31" x14ac:dyDescent="0.35">
      <c r="B57" s="93">
        <f>IF(Table1[[#This Row],[TANGGAL]]="","",ROW(N53))</f>
        <v>53</v>
      </c>
      <c r="C57" s="94">
        <v>46094</v>
      </c>
      <c r="D57" s="95" t="s">
        <v>388</v>
      </c>
      <c r="E57" s="52" t="str">
        <f>INDEX(Table5[KATEGORI PROGRAM],MATCH(Table1[[#This Row],[NAMA PROGRAM]],Table5[NAMA PROGRAM],0))</f>
        <v>Pangan</v>
      </c>
      <c r="F57" s="43" t="s">
        <v>448</v>
      </c>
      <c r="G57" s="96" t="s">
        <v>469</v>
      </c>
      <c r="H57" s="53" t="s">
        <v>91</v>
      </c>
      <c r="I57" s="53" t="str">
        <f>INDEX(Table2[Kecamatan],MATCH(Table1[[#This Row],[KELURAHAN / DESA]],Table2[Kelurahan],0))</f>
        <v>Kemuning</v>
      </c>
      <c r="J57" s="53" t="str">
        <f>INDEX(Table2[Kabupaten/Kota],MATCH(Table1[[#This Row],[KECAMATAN]],Table2[Kecamatan],0))</f>
        <v>Palembang</v>
      </c>
      <c r="K57" s="95" t="str">
        <f>INDEX(Table2[Provinsi],MATCH(Table1[[#This Row],[KAB./KOTA]],Table2[Kabupaten/Kota],0))</f>
        <v>Sumatera Selatan</v>
      </c>
      <c r="L57" s="44">
        <v>100</v>
      </c>
      <c r="M57" s="53" t="s">
        <v>404</v>
      </c>
      <c r="N57" s="53" t="s">
        <v>471</v>
      </c>
      <c r="O57" s="68" t="s">
        <v>212</v>
      </c>
    </row>
    <row r="58" spans="2:15" ht="31" x14ac:dyDescent="0.35">
      <c r="B58" s="93">
        <f>IF(Table1[[#This Row],[TANGGAL]]="","",ROW(N54))</f>
        <v>54</v>
      </c>
      <c r="C58" s="94">
        <v>46094</v>
      </c>
      <c r="D58" s="95" t="s">
        <v>388</v>
      </c>
      <c r="E58" s="52" t="str">
        <f>INDEX(Table5[KATEGORI PROGRAM],MATCH(Table1[[#This Row],[NAMA PROGRAM]],Table5[NAMA PROGRAM],0))</f>
        <v>Pangan</v>
      </c>
      <c r="F58" s="43" t="s">
        <v>422</v>
      </c>
      <c r="G58" s="96" t="s">
        <v>438</v>
      </c>
      <c r="H58" s="53" t="s">
        <v>99</v>
      </c>
      <c r="I58" s="53" t="str">
        <f>INDEX(Table2[Kecamatan],MATCH(Table1[[#This Row],[KELURAHAN / DESA]],Table2[Kelurahan],0))</f>
        <v>Kertapati</v>
      </c>
      <c r="J58" s="53" t="str">
        <f>INDEX(Table2[Kabupaten/Kota],MATCH(Table1[[#This Row],[KECAMATAN]],Table2[Kecamatan],0))</f>
        <v>Palembang</v>
      </c>
      <c r="K58" s="95" t="str">
        <f>INDEX(Table2[Provinsi],MATCH(Table1[[#This Row],[KAB./KOTA]],Table2[Kabupaten/Kota],0))</f>
        <v>Sumatera Selatan</v>
      </c>
      <c r="L58" s="44">
        <v>120</v>
      </c>
      <c r="M58" s="53" t="s">
        <v>408</v>
      </c>
      <c r="N58" s="53" t="s">
        <v>467</v>
      </c>
      <c r="O58" s="68" t="s">
        <v>209</v>
      </c>
    </row>
    <row r="59" spans="2:15" ht="31" x14ac:dyDescent="0.35">
      <c r="B59" s="93">
        <f>IF(Table1[[#This Row],[TANGGAL]]="","",ROW(N55))</f>
        <v>55</v>
      </c>
      <c r="C59" s="94">
        <v>46094</v>
      </c>
      <c r="D59" s="95" t="s">
        <v>393</v>
      </c>
      <c r="E59" s="52" t="str">
        <f>INDEX(Table5[KATEGORI PROGRAM],MATCH(Table1[[#This Row],[NAMA PROGRAM]],Table5[NAMA PROGRAM],0))</f>
        <v>Event Sosial</v>
      </c>
      <c r="F59" s="43" t="s">
        <v>490</v>
      </c>
      <c r="G59" s="96" t="s">
        <v>489</v>
      </c>
      <c r="H59" s="53" t="s">
        <v>98</v>
      </c>
      <c r="I59" s="53" t="str">
        <f>INDEX(Table2[Kecamatan],MATCH(Table1[[#This Row],[KELURAHAN / DESA]],Table2[Kelurahan],0))</f>
        <v>Kertapati</v>
      </c>
      <c r="J59" s="53" t="str">
        <f>INDEX(Table2[Kabupaten/Kota],MATCH(Table1[[#This Row],[KECAMATAN]],Table2[Kecamatan],0))</f>
        <v>Palembang</v>
      </c>
      <c r="K59" s="95" t="str">
        <f>INDEX(Table2[Provinsi],MATCH(Table1[[#This Row],[KAB./KOTA]],Table2[Kabupaten/Kota],0))</f>
        <v>Sumatera Selatan</v>
      </c>
      <c r="L59" s="44">
        <v>400</v>
      </c>
      <c r="M59" s="53" t="s">
        <v>393</v>
      </c>
      <c r="N59" s="53" t="s">
        <v>481</v>
      </c>
      <c r="O59" s="68" t="s">
        <v>215</v>
      </c>
    </row>
    <row r="60" spans="2:15" ht="31" x14ac:dyDescent="0.35">
      <c r="B60" s="93">
        <f>IF(Table1[[#This Row],[TANGGAL]]="","",ROW(N56))</f>
        <v>56</v>
      </c>
      <c r="C60" s="94">
        <v>46094</v>
      </c>
      <c r="D60" s="95" t="s">
        <v>390</v>
      </c>
      <c r="E60" s="52" t="str">
        <f>INDEX(Table5[KATEGORI PROGRAM],MATCH(Table1[[#This Row],[NAMA PROGRAM]],Table5[NAMA PROGRAM],0))</f>
        <v>Syiar &amp; Dakwah</v>
      </c>
      <c r="F60" s="43" t="s">
        <v>474</v>
      </c>
      <c r="G60" s="96" t="s">
        <v>466</v>
      </c>
      <c r="H60" s="53" t="s">
        <v>47</v>
      </c>
      <c r="I60" s="53" t="str">
        <f>INDEX(Table2[Kecamatan],MATCH(Table1[[#This Row],[KELURAHAN / DESA]],Table2[Kelurahan],0))</f>
        <v>Ilir Barat I</v>
      </c>
      <c r="J60" s="53" t="str">
        <f>INDEX(Table2[Kabupaten/Kota],MATCH(Table1[[#This Row],[KECAMATAN]],Table2[Kecamatan],0))</f>
        <v>Palembang</v>
      </c>
      <c r="K60" s="95" t="str">
        <f>INDEX(Table2[Provinsi],MATCH(Table1[[#This Row],[KAB./KOTA]],Table2[Kabupaten/Kota],0))</f>
        <v>Sumatera Selatan</v>
      </c>
      <c r="L60" s="44">
        <v>150</v>
      </c>
      <c r="M60" s="53" t="s">
        <v>446</v>
      </c>
      <c r="N60" s="53" t="s">
        <v>447</v>
      </c>
      <c r="O60" s="68" t="s">
        <v>216</v>
      </c>
    </row>
    <row r="61" spans="2:15" ht="31" x14ac:dyDescent="0.35">
      <c r="B61" s="93">
        <f>IF(Table1[[#This Row],[TANGGAL]]="","",ROW(N57))</f>
        <v>57</v>
      </c>
      <c r="C61" s="94">
        <v>46094</v>
      </c>
      <c r="D61" s="95" t="s">
        <v>389</v>
      </c>
      <c r="E61" s="52" t="str">
        <f>INDEX(Table5[KATEGORI PROGRAM],MATCH(Table1[[#This Row],[NAMA PROGRAM]],Table5[NAMA PROGRAM],0))</f>
        <v>Pangan</v>
      </c>
      <c r="F61" s="43" t="s">
        <v>448</v>
      </c>
      <c r="G61" s="96" t="s">
        <v>469</v>
      </c>
      <c r="H61" s="53" t="s">
        <v>91</v>
      </c>
      <c r="I61" s="53" t="str">
        <f>INDEX(Table2[Kecamatan],MATCH(Table1[[#This Row],[KELURAHAN / DESA]],Table2[Kelurahan],0))</f>
        <v>Kemuning</v>
      </c>
      <c r="J61" s="53" t="str">
        <f>INDEX(Table2[Kabupaten/Kota],MATCH(Table1[[#This Row],[KECAMATAN]],Table2[Kecamatan],0))</f>
        <v>Palembang</v>
      </c>
      <c r="K61" s="95" t="str">
        <f>INDEX(Table2[Provinsi],MATCH(Table1[[#This Row],[KAB./KOTA]],Table2[Kabupaten/Kota],0))</f>
        <v>Sumatera Selatan</v>
      </c>
      <c r="L61" s="44">
        <v>50</v>
      </c>
      <c r="M61" s="53" t="s">
        <v>472</v>
      </c>
      <c r="N61" s="53" t="s">
        <v>473</v>
      </c>
      <c r="O61" s="68" t="s">
        <v>212</v>
      </c>
    </row>
    <row r="62" spans="2:15" ht="29" x14ac:dyDescent="0.35">
      <c r="B62" s="93">
        <f>IF(Table1[[#This Row],[TANGGAL]]="","",ROW(N58))</f>
        <v>58</v>
      </c>
      <c r="C62" s="94">
        <v>46095</v>
      </c>
      <c r="D62" s="95" t="s">
        <v>475</v>
      </c>
      <c r="E62" s="52" t="str">
        <f>INDEX(Table5[KATEGORI PROGRAM],MATCH(Table1[[#This Row],[NAMA PROGRAM]],Table5[NAMA PROGRAM],0))</f>
        <v>Event Sosial</v>
      </c>
      <c r="F62" s="43" t="s">
        <v>476</v>
      </c>
      <c r="G62" s="96" t="s">
        <v>477</v>
      </c>
      <c r="H62" s="53" t="s">
        <v>49</v>
      </c>
      <c r="I62" s="53" t="str">
        <f>INDEX(Table2[Kecamatan],MATCH(Table1[[#This Row],[KELURAHAN / DESA]],Table2[Kelurahan],0))</f>
        <v>Ilir Barat I</v>
      </c>
      <c r="J62" s="53" t="str">
        <f>INDEX(Table2[Kabupaten/Kota],MATCH(Table1[[#This Row],[KECAMATAN]],Table2[Kecamatan],0))</f>
        <v>Palembang</v>
      </c>
      <c r="K62" s="95" t="str">
        <f>INDEX(Table2[Provinsi],MATCH(Table1[[#This Row],[KAB./KOTA]],Table2[Kabupaten/Kota],0))</f>
        <v>Sumatera Selatan</v>
      </c>
      <c r="L62" s="44">
        <v>182</v>
      </c>
      <c r="M62" s="53" t="s">
        <v>478</v>
      </c>
      <c r="N62" s="53" t="s">
        <v>479</v>
      </c>
      <c r="O62" s="68" t="s">
        <v>207</v>
      </c>
    </row>
    <row r="63" spans="2:15" ht="31" x14ac:dyDescent="0.35">
      <c r="B63" s="93">
        <f>IF(Table1[[#This Row],[TANGGAL]]="","",ROW(N59))</f>
        <v>59</v>
      </c>
      <c r="C63" s="94">
        <v>46097</v>
      </c>
      <c r="D63" s="95" t="s">
        <v>388</v>
      </c>
      <c r="E63" s="52" t="str">
        <f>INDEX(Table5[KATEGORI PROGRAM],MATCH(Table1[[#This Row],[NAMA PROGRAM]],Table5[NAMA PROGRAM],0))</f>
        <v>Pangan</v>
      </c>
      <c r="F63" s="43" t="s">
        <v>491</v>
      </c>
      <c r="G63" s="96" t="s">
        <v>492</v>
      </c>
      <c r="H63" s="53" t="s">
        <v>75</v>
      </c>
      <c r="I63" s="53" t="str">
        <f>INDEX(Table2[Kecamatan],MATCH(Table1[[#This Row],[KELURAHAN / DESA]],Table2[Kelurahan],0))</f>
        <v>Ilir Timur III</v>
      </c>
      <c r="J63" s="53" t="str">
        <f>INDEX(Table2[Kabupaten/Kota],MATCH(Table1[[#This Row],[KECAMATAN]],Table2[Kecamatan],0))</f>
        <v>Palembang</v>
      </c>
      <c r="K63" s="95" t="str">
        <f>INDEX(Table2[Provinsi],MATCH(Table1[[#This Row],[KAB./KOTA]],Table2[Kabupaten/Kota],0))</f>
        <v>Sumatera Selatan</v>
      </c>
      <c r="L63" s="44">
        <v>100</v>
      </c>
      <c r="M63" s="53" t="s">
        <v>404</v>
      </c>
      <c r="N63" s="53" t="s">
        <v>409</v>
      </c>
      <c r="O63" s="68" t="s">
        <v>239</v>
      </c>
    </row>
    <row r="64" spans="2:15" ht="31" x14ac:dyDescent="0.35">
      <c r="B64" s="93">
        <f>IF(Table1[[#This Row],[TANGGAL]]="","",ROW(N60))</f>
        <v>60</v>
      </c>
      <c r="C64" s="94">
        <v>46097</v>
      </c>
      <c r="D64" s="95" t="s">
        <v>20</v>
      </c>
      <c r="E64" s="52" t="str">
        <f>INDEX(Table5[KATEGORI PROGRAM],MATCH(Table1[[#This Row],[NAMA PROGRAM]],Table5[NAMA PROGRAM],0))</f>
        <v>Pangan</v>
      </c>
      <c r="F64" s="43" t="s">
        <v>491</v>
      </c>
      <c r="G64" s="96" t="s">
        <v>492</v>
      </c>
      <c r="H64" s="53" t="s">
        <v>75</v>
      </c>
      <c r="I64" s="53" t="str">
        <f>INDEX(Table2[Kecamatan],MATCH(Table1[[#This Row],[KELURAHAN / DESA]],Table2[Kelurahan],0))</f>
        <v>Ilir Timur III</v>
      </c>
      <c r="J64" s="53" t="str">
        <f>INDEX(Table2[Kabupaten/Kota],MATCH(Table1[[#This Row],[KECAMATAN]],Table2[Kecamatan],0))</f>
        <v>Palembang</v>
      </c>
      <c r="K64" s="95" t="str">
        <f>INDEX(Table2[Provinsi],MATCH(Table1[[#This Row],[KAB./KOTA]],Table2[Kabupaten/Kota],0))</f>
        <v>Sumatera Selatan</v>
      </c>
      <c r="L64" s="44">
        <v>200</v>
      </c>
      <c r="M64" s="53" t="s">
        <v>497</v>
      </c>
      <c r="N64" s="53" t="s">
        <v>409</v>
      </c>
      <c r="O64" s="68" t="s">
        <v>239</v>
      </c>
    </row>
    <row r="65" spans="2:15" ht="29" x14ac:dyDescent="0.35">
      <c r="B65" s="93">
        <f>IF(Table1[[#This Row],[TANGGAL]]="","",ROW(N61))</f>
        <v>61</v>
      </c>
      <c r="C65" s="94">
        <v>46099</v>
      </c>
      <c r="D65" s="95" t="s">
        <v>19</v>
      </c>
      <c r="E65" s="52" t="str">
        <f>INDEX(Table5[KATEGORI PROGRAM],MATCH(Table1[[#This Row],[NAMA PROGRAM]],Table5[NAMA PROGRAM],0))</f>
        <v>Syiar &amp; Dakwah</v>
      </c>
      <c r="F65" s="43" t="s">
        <v>493</v>
      </c>
      <c r="G65" s="96" t="s">
        <v>494</v>
      </c>
      <c r="H65" s="53" t="s">
        <v>391</v>
      </c>
      <c r="I65" s="53" t="str">
        <f>INDEX(Table2[Kecamatan],MATCH(Table1[[#This Row],[KELURAHAN / DESA]],Table2[Kelurahan],0))</f>
        <v>Indralaya</v>
      </c>
      <c r="J65" s="53" t="str">
        <f>INDEX(Table2[Kabupaten/Kota],MATCH(Table1[[#This Row],[KECAMATAN]],Table2[Kecamatan],0))</f>
        <v>Ogan Ilir</v>
      </c>
      <c r="K65" s="95" t="str">
        <f>INDEX(Table2[Provinsi],MATCH(Table1[[#This Row],[KAB./KOTA]],Table2[Kabupaten/Kota],0))</f>
        <v>Sumatera Selatan</v>
      </c>
      <c r="L65" s="44">
        <v>80</v>
      </c>
      <c r="M65" s="53" t="s">
        <v>432</v>
      </c>
      <c r="N65" s="53" t="s">
        <v>409</v>
      </c>
      <c r="O65" s="68" t="s">
        <v>210</v>
      </c>
    </row>
    <row r="66" spans="2:15" ht="29" x14ac:dyDescent="0.35">
      <c r="B66" s="93">
        <f>IF(Table1[[#This Row],[TANGGAL]]="","",ROW(N62))</f>
        <v>62</v>
      </c>
      <c r="C66" s="94">
        <v>46099</v>
      </c>
      <c r="D66" s="95" t="s">
        <v>19</v>
      </c>
      <c r="E66" s="52" t="str">
        <f>INDEX(Table5[KATEGORI PROGRAM],MATCH(Table1[[#This Row],[NAMA PROGRAM]],Table5[NAMA PROGRAM],0))</f>
        <v>Syiar &amp; Dakwah</v>
      </c>
      <c r="F66" s="43" t="s">
        <v>495</v>
      </c>
      <c r="G66" s="96" t="s">
        <v>496</v>
      </c>
      <c r="H66" s="53" t="s">
        <v>391</v>
      </c>
      <c r="I66" s="53" t="str">
        <f>INDEX(Table2[Kecamatan],MATCH(Table1[[#This Row],[KELURAHAN / DESA]],Table2[Kelurahan],0))</f>
        <v>Indralaya</v>
      </c>
      <c r="J66" s="53" t="str">
        <f>INDEX(Table2[Kabupaten/Kota],MATCH(Table1[[#This Row],[KECAMATAN]],Table2[Kecamatan],0))</f>
        <v>Ogan Ilir</v>
      </c>
      <c r="K66" s="95" t="str">
        <f>INDEX(Table2[Provinsi],MATCH(Table1[[#This Row],[KAB./KOTA]],Table2[Kabupaten/Kota],0))</f>
        <v>Sumatera Selatan</v>
      </c>
      <c r="L66" s="44">
        <v>22</v>
      </c>
      <c r="M66" s="53" t="s">
        <v>432</v>
      </c>
      <c r="N66" s="53" t="s">
        <v>409</v>
      </c>
      <c r="O66" s="68" t="s">
        <v>210</v>
      </c>
    </row>
    <row r="67" spans="2:15" ht="31" x14ac:dyDescent="0.35">
      <c r="B67" s="93">
        <f>IF(Table1[[#This Row],[TANGGAL]]="","",ROW(N63))</f>
        <v>63</v>
      </c>
      <c r="C67" s="94">
        <v>46101</v>
      </c>
      <c r="D67" s="95" t="s">
        <v>498</v>
      </c>
      <c r="E67" s="52" t="str">
        <f>INDEX(Table5[KATEGORI PROGRAM],MATCH(Table1[[#This Row],[NAMA PROGRAM]],Table5[NAMA PROGRAM],0))</f>
        <v>Pangan</v>
      </c>
      <c r="F67" s="43" t="s">
        <v>499</v>
      </c>
      <c r="G67" s="96" t="s">
        <v>500</v>
      </c>
      <c r="H67" s="53" t="s">
        <v>47</v>
      </c>
      <c r="I67" s="53" t="str">
        <f>INDEX(Table2[Kecamatan],MATCH(Table1[[#This Row],[KELURAHAN / DESA]],Table2[Kelurahan],0))</f>
        <v>Ilir Barat I</v>
      </c>
      <c r="J67" s="53" t="str">
        <f>INDEX(Table2[Kabupaten/Kota],MATCH(Table1[[#This Row],[KECAMATAN]],Table2[Kecamatan],0))</f>
        <v>Palembang</v>
      </c>
      <c r="K67" s="95" t="str">
        <f>INDEX(Table2[Provinsi],MATCH(Table1[[#This Row],[KAB./KOTA]],Table2[Kabupaten/Kota],0))</f>
        <v>Sumatera Selatan</v>
      </c>
      <c r="L67" s="44">
        <v>2080</v>
      </c>
      <c r="M67" s="53" t="s">
        <v>501</v>
      </c>
      <c r="N67" s="53" t="s">
        <v>470</v>
      </c>
      <c r="O67" s="68" t="s">
        <v>211</v>
      </c>
    </row>
  </sheetData>
  <mergeCells count="1">
    <mergeCell ref="B2:N2"/>
  </mergeCells>
  <phoneticPr fontId="6" type="noConversion"/>
  <dataValidations count="3">
    <dataValidation type="list" allowBlank="1" showInputMessage="1" showErrorMessage="1" sqref="D5:D67" xr:uid="{2C56FC60-64E9-42CD-8A91-DF334E5386DF}">
      <formula1>t_nm</formula1>
    </dataValidation>
    <dataValidation type="list" allowBlank="1" showInputMessage="1" showErrorMessage="1" sqref="H5:H67" xr:uid="{CA38EC53-206F-40FD-914E-05959DAF4E92}">
      <formula1>t_kel</formula1>
    </dataValidation>
    <dataValidation type="list" allowBlank="1" showInputMessage="1" showErrorMessage="1" sqref="O5:O67" xr:uid="{3C7D2800-C879-47DB-84BE-AC76A47A38E9}">
      <formula1>T_SPMFIX</formula1>
    </dataValidation>
  </dataValidations>
  <hyperlinks>
    <hyperlink ref="F5" r:id="rId1" xr:uid="{71B2B9DA-DC74-4CF1-B3FD-A7B363D187C1}"/>
    <hyperlink ref="F14" r:id="rId2" xr:uid="{DB5494F2-D58C-41EA-9AB2-EA46694F7CFA}"/>
    <hyperlink ref="F17" r:id="rId3" xr:uid="{195F24F7-C36A-44AE-BC2A-007F2083C471}"/>
    <hyperlink ref="F18" r:id="rId4" xr:uid="{AF16E744-7A2C-46C3-8E6D-FCAADABB1591}"/>
    <hyperlink ref="F19" r:id="rId5" xr:uid="{A3DA5079-F0B8-4FA9-BD11-E92CB5774E77}"/>
    <hyperlink ref="F24" r:id="rId6" xr:uid="{8CF6A49B-EF87-46C7-BD2E-DCA85DF0DD84}"/>
    <hyperlink ref="F25" r:id="rId7" xr:uid="{EB1827DC-34D6-42F5-A263-9D9C67921627}"/>
    <hyperlink ref="F30" r:id="rId8" xr:uid="{1BA7E40B-E6AE-4D33-B452-53D3343B68F7}"/>
    <hyperlink ref="F29" r:id="rId9" xr:uid="{B7114F0B-EA95-4954-957D-3163B73849B1}"/>
    <hyperlink ref="F35" r:id="rId10" xr:uid="{41AB0C7D-7481-48FB-A549-9DF6B209CBEB}"/>
    <hyperlink ref="F36" r:id="rId11" xr:uid="{255A3098-A5CA-47BA-9D53-B9095D977429}"/>
    <hyperlink ref="F41" r:id="rId12" xr:uid="{485C86F7-9692-4BF8-981C-B95D014B0BBD}"/>
    <hyperlink ref="F51" r:id="rId13" xr:uid="{C6367E06-CEB9-4F2D-AD0E-F72476E127C4}"/>
    <hyperlink ref="F45" r:id="rId14" xr:uid="{A040D98D-C7DB-4DDE-A5B8-22226E03F90D}"/>
    <hyperlink ref="F46" r:id="rId15" xr:uid="{512B8FA2-7628-43C2-ACAB-E4B22F41F4F1}"/>
    <hyperlink ref="F49" r:id="rId16" xr:uid="{8A32AC67-91EA-41EF-98D7-B0F7AFFC1589}"/>
    <hyperlink ref="F50" r:id="rId17" xr:uid="{63F302F3-B2AF-4331-AF13-C15A39A1610B}"/>
    <hyperlink ref="F52" r:id="rId18" xr:uid="{34C4C926-8A7C-4592-87C0-E4D4EC76798A}"/>
    <hyperlink ref="F55" r:id="rId19" display="https://maps.app.goo.gl/65px8k8syG1SNhYD9" xr:uid="{4A726F48-DF3B-4DDF-A11B-311D63C6C47E}"/>
    <hyperlink ref="F56" r:id="rId20" xr:uid="{1A75B6C8-5997-493B-9AC2-87B3915B2E30}"/>
    <hyperlink ref="F57" r:id="rId21" xr:uid="{AEFD0E91-53AE-471E-AE4D-BA130FEDA2FE}"/>
    <hyperlink ref="F61" r:id="rId22" xr:uid="{6F12E8C1-A093-4650-B293-AC4AB5D33050}"/>
    <hyperlink ref="F60" r:id="rId23" xr:uid="{F0E2F006-04B7-46A8-99EF-E8A07B53D0D7}"/>
    <hyperlink ref="F62" r:id="rId24" xr:uid="{F5132923-DF37-462C-BC11-11CA0ACFA292}"/>
    <hyperlink ref="F39" r:id="rId25" xr:uid="{15587973-404C-4E6E-8036-D790AE7BF461}"/>
    <hyperlink ref="F44" r:id="rId26" xr:uid="{E50B3396-DEE3-4828-9DC5-63661270CCBC}"/>
    <hyperlink ref="F48" r:id="rId27" xr:uid="{2A0C343F-70C8-406C-B665-3D7EE8A09E88}"/>
    <hyperlink ref="F54" r:id="rId28" xr:uid="{B40DFF64-9C8C-4913-902E-9283EB8D8C30}"/>
    <hyperlink ref="F59" r:id="rId29" xr:uid="{EBA90760-C8C7-426B-B51E-8346B0A3ABDD}"/>
    <hyperlink ref="F63" r:id="rId30" xr:uid="{CF2DDB94-D30A-49C4-A81F-F256D0BD41DE}"/>
    <hyperlink ref="F64" r:id="rId31" xr:uid="{B0EF01CA-E0CE-45D3-B4F7-18C1196F4415}"/>
    <hyperlink ref="F9" r:id="rId32" xr:uid="{891091B6-4526-463E-B660-A3E6A9EA63B0}"/>
    <hyperlink ref="F65" r:id="rId33" xr:uid="{D554622F-8272-4E98-A5D9-E203B94F89C2}"/>
    <hyperlink ref="F66" r:id="rId34" xr:uid="{96B7AF63-93CF-4373-9ED5-F2714BCA73CE}"/>
    <hyperlink ref="F6" r:id="rId35" xr:uid="{00B40A04-722B-4A61-87E7-D6C9CB4ED181}"/>
    <hyperlink ref="F7" r:id="rId36" xr:uid="{5CE55628-E979-439C-8440-6CB79214DE66}"/>
    <hyperlink ref="F10" r:id="rId37" xr:uid="{70DEC2A6-4156-4290-A50B-6BDAF1AC8658}"/>
    <hyperlink ref="F13" r:id="rId38" xr:uid="{F7A11E62-749D-4579-85B2-052DC946549C}"/>
    <hyperlink ref="F22" r:id="rId39" xr:uid="{A198BD07-1E9B-4CDD-AC96-25590FCE88BE}"/>
    <hyperlink ref="F26" r:id="rId40" xr:uid="{8C9DC809-981E-446F-B122-6931AACFC6C8}"/>
    <hyperlink ref="F33" r:id="rId41" xr:uid="{B2A722A5-12E6-4D12-95A7-957C1ACC6D6B}"/>
    <hyperlink ref="F34" r:id="rId42" xr:uid="{6D3492AA-E031-428B-A0FE-EEAE5F3A0CE3}"/>
    <hyperlink ref="F31" r:id="rId43" xr:uid="{A95E4447-56F0-4C8A-B1B5-215140403D9F}"/>
  </hyperlinks>
  <pageMargins left="0.7" right="0.7" top="0.75" bottom="0.75" header="0.3" footer="0.3"/>
  <pageSetup paperSize="9" orientation="portrait" horizontalDpi="4294967293" verticalDpi="0" r:id="rId44"/>
  <tableParts count="1">
    <tablePart r:id="rId4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85BF8-5A05-49F4-8917-7CDE7A57FAF1}">
  <dimension ref="B1:K1048499"/>
  <sheetViews>
    <sheetView showGridLines="0" topLeftCell="A17" zoomScale="60" zoomScaleNormal="60" workbookViewId="0">
      <selection activeCell="E40" sqref="E40"/>
    </sheetView>
  </sheetViews>
  <sheetFormatPr defaultRowHeight="14.5" x14ac:dyDescent="0.35"/>
  <cols>
    <col min="2" max="2" width="6.26953125" customWidth="1"/>
    <col min="3" max="3" width="59.54296875" style="6" bestFit="1" customWidth="1"/>
    <col min="4" max="4" width="19.08984375" style="7" customWidth="1"/>
    <col min="5" max="5" width="11.81640625" style="7" customWidth="1"/>
    <col min="6" max="6" width="19.7265625" bestFit="1" customWidth="1"/>
    <col min="7" max="7" width="62.81640625" bestFit="1" customWidth="1"/>
    <col min="8" max="8" width="13.6328125" style="7" customWidth="1"/>
    <col min="9" max="9" width="16" style="7" bestFit="1" customWidth="1"/>
    <col min="10" max="10" width="20.26953125" style="7" customWidth="1"/>
    <col min="11" max="11" width="14.7265625" bestFit="1" customWidth="1"/>
    <col min="12" max="12" width="10.26953125" bestFit="1" customWidth="1"/>
    <col min="13" max="13" width="9.453125" bestFit="1" customWidth="1"/>
    <col min="14" max="14" width="13.54296875" bestFit="1" customWidth="1"/>
    <col min="15" max="15" width="9.453125" bestFit="1" customWidth="1"/>
    <col min="16" max="16" width="49.1796875" bestFit="1" customWidth="1"/>
    <col min="17" max="17" width="76" bestFit="1" customWidth="1"/>
    <col min="18" max="18" width="7.7265625" customWidth="1"/>
  </cols>
  <sheetData>
    <row r="1" spans="2:10" ht="15" thickBot="1" x14ac:dyDescent="0.4"/>
    <row r="2" spans="2:10" ht="19" thickBot="1" x14ac:dyDescent="0.5">
      <c r="B2" s="104" t="s">
        <v>175</v>
      </c>
      <c r="C2" s="105"/>
      <c r="D2" s="105"/>
      <c r="E2" s="106"/>
      <c r="G2" s="104" t="s">
        <v>176</v>
      </c>
      <c r="H2" s="105"/>
      <c r="I2" s="105"/>
      <c r="J2" s="106"/>
    </row>
    <row r="4" spans="2:10" x14ac:dyDescent="0.35">
      <c r="B4" s="40" t="s">
        <v>28</v>
      </c>
      <c r="C4" s="40" t="s">
        <v>177</v>
      </c>
      <c r="D4" s="40" t="s">
        <v>178</v>
      </c>
      <c r="E4" s="41" t="s">
        <v>179</v>
      </c>
      <c r="G4" s="8" t="s">
        <v>180</v>
      </c>
      <c r="H4" s="9" t="s">
        <v>193</v>
      </c>
      <c r="I4" s="9" t="s">
        <v>179</v>
      </c>
      <c r="J4" s="10" t="s">
        <v>181</v>
      </c>
    </row>
    <row r="5" spans="2:10" x14ac:dyDescent="0.35">
      <c r="B5" s="11">
        <f>IF(Table12[[#Headers],[Nama Program]]="","",ROW(F1))</f>
        <v>1</v>
      </c>
      <c r="C5" s="14" t="str">
        <f>Table14[[#This Row],[PROGRAM PENDIDIKAN]]</f>
        <v>Pendidikan Formal PAUD KB CERIA</v>
      </c>
      <c r="D5" s="11">
        <f>Table14[[#This Row],[Pelaksanaan]]</f>
        <v>12</v>
      </c>
      <c r="E5" s="11">
        <f>Table14[[#This Row],[Jumlah PM]]</f>
        <v>39</v>
      </c>
      <c r="G5" s="12" t="s">
        <v>182</v>
      </c>
      <c r="H5" s="11">
        <v>12</v>
      </c>
      <c r="I5" s="11">
        <v>39</v>
      </c>
      <c r="J5" s="13">
        <v>1</v>
      </c>
    </row>
    <row r="6" spans="2:10" x14ac:dyDescent="0.35">
      <c r="B6" s="11">
        <f>IF(Table12[[#Headers],[Nama Program]]="","",ROW(F2))</f>
        <v>2</v>
      </c>
      <c r="C6" s="14" t="str">
        <f>Table14[[#This Row],[PROGRAM PENDIDIKAN]]</f>
        <v>Pendidikan Formal PAUD SPS</v>
      </c>
      <c r="D6" s="11">
        <f>Table14[[#This Row],[Pelaksanaan]]</f>
        <v>12</v>
      </c>
      <c r="E6" s="11">
        <f>Table14[[#This Row],[Jumlah PM]]</f>
        <v>24</v>
      </c>
      <c r="G6" s="12" t="s">
        <v>183</v>
      </c>
      <c r="H6" s="11">
        <v>12</v>
      </c>
      <c r="I6" s="11">
        <v>24</v>
      </c>
      <c r="J6" s="13">
        <v>1</v>
      </c>
    </row>
    <row r="7" spans="2:10" x14ac:dyDescent="0.35">
      <c r="B7" s="11">
        <f>IF(Table12[[#Headers],[Nama Program]]="","",ROW(F3))</f>
        <v>3</v>
      </c>
      <c r="C7" s="14" t="str">
        <f>Table14[[#This Row],[PROGRAM PENDIDIKAN]]</f>
        <v>Rumah Belajar Ceria</v>
      </c>
      <c r="D7" s="11">
        <f>Table14[[#This Row],[Pelaksanaan]]</f>
        <v>1</v>
      </c>
      <c r="E7" s="11">
        <f>Table14[[#This Row],[Jumlah PM]]</f>
        <v>45</v>
      </c>
      <c r="G7" s="12" t="s">
        <v>7</v>
      </c>
      <c r="H7" s="11">
        <f>COUNTIF(Table1[NAMA PROGRAM],Table14[[#This Row],[PROGRAM PENDIDIKAN]])</f>
        <v>1</v>
      </c>
      <c r="I7" s="11">
        <f>SUMIF(Table1[NAMA PROGRAM],Table14[[#This Row],[PROGRAM PENDIDIKAN]],Table1[JUMLAH PM])</f>
        <v>45</v>
      </c>
      <c r="J7" s="13">
        <v>1</v>
      </c>
    </row>
    <row r="8" spans="2:10" x14ac:dyDescent="0.35">
      <c r="B8" s="11">
        <f>IF(Table12[[#Headers],[Nama Program]]="","",ROW(F4))</f>
        <v>4</v>
      </c>
      <c r="C8" s="14" t="str">
        <f>Table14[[#This Row],[PROGRAM PENDIDIKAN]]</f>
        <v>Sekolah Pinggiran Sriwijaya</v>
      </c>
      <c r="D8" s="11">
        <f>Table14[[#This Row],[Pelaksanaan]]</f>
        <v>2</v>
      </c>
      <c r="E8" s="11">
        <f>Table14[[#This Row],[Jumlah PM]]</f>
        <v>110</v>
      </c>
      <c r="G8" s="12" t="s">
        <v>6</v>
      </c>
      <c r="H8" s="11">
        <f>COUNTIF(Table1[NAMA PROGRAM],Table14[[#This Row],[PROGRAM PENDIDIKAN]])</f>
        <v>2</v>
      </c>
      <c r="I8" s="11">
        <f>SUMIF(Table1[NAMA PROGRAM],Table14[[#This Row],[PROGRAM PENDIDIKAN]],Table1[JUMLAH PM])</f>
        <v>110</v>
      </c>
      <c r="J8" s="13">
        <v>1</v>
      </c>
    </row>
    <row r="9" spans="2:10" x14ac:dyDescent="0.35">
      <c r="B9" s="11">
        <f>IF(Table12[[#Headers],[Nama Program]]="","",ROW(F5))</f>
        <v>5</v>
      </c>
      <c r="C9" s="14" t="str">
        <f>Table14[[#This Row],[PROGRAM PENDIDIKAN]]</f>
        <v>Ruang Yakin Cerdas</v>
      </c>
      <c r="D9" s="11">
        <f>Table14[[#This Row],[Pelaksanaan]]</f>
        <v>2</v>
      </c>
      <c r="E9" s="11">
        <f>Table14[[#This Row],[Jumlah PM]]</f>
        <v>46</v>
      </c>
      <c r="G9" s="12" t="s">
        <v>3</v>
      </c>
      <c r="H9" s="11">
        <f>COUNTIF(Table1[NAMA PROGRAM],Table14[[#This Row],[PROGRAM PENDIDIKAN]])</f>
        <v>2</v>
      </c>
      <c r="I9" s="11">
        <f>SUMIF(Table1[NAMA PROGRAM],Table14[[#This Row],[PROGRAM PENDIDIKAN]],Table1[JUMLAH PM])</f>
        <v>46</v>
      </c>
      <c r="J9" s="13">
        <v>1</v>
      </c>
    </row>
    <row r="10" spans="2:10" x14ac:dyDescent="0.35">
      <c r="B10" s="11">
        <f>IF(Table12[[#Headers],[Nama Program]]="","",ROW(F6))</f>
        <v>6</v>
      </c>
      <c r="C10" s="14" t="str">
        <f>Table14[[#This Row],[PROGRAM PENDIDIKAN]]</f>
        <v>Cerita Kolong Langit</v>
      </c>
      <c r="D10" s="11">
        <f>Table14[[#This Row],[Pelaksanaan]]</f>
        <v>1</v>
      </c>
      <c r="E10" s="11">
        <f>Table14[[#This Row],[Jumlah PM]]</f>
        <v>37</v>
      </c>
      <c r="G10" s="12" t="s">
        <v>2</v>
      </c>
      <c r="H10" s="11">
        <f>COUNTIF(Table1[NAMA PROGRAM],Table14[[#This Row],[PROGRAM PENDIDIKAN]])</f>
        <v>1</v>
      </c>
      <c r="I10" s="11">
        <f>SUMIF(Table1[NAMA PROGRAM],Table14[[#This Row],[PROGRAM PENDIDIKAN]],Table1[JUMLAH PM])</f>
        <v>37</v>
      </c>
      <c r="J10" s="13">
        <v>1</v>
      </c>
    </row>
    <row r="11" spans="2:10" x14ac:dyDescent="0.35">
      <c r="B11" s="11">
        <f>IF(Table12[[#Headers],[Nama Program]]="","",ROW(F7))</f>
        <v>7</v>
      </c>
      <c r="C11" s="14" t="str">
        <f>Table14[[#This Row],[PROGRAM PENDIDIKAN]]</f>
        <v>Rumah Tafizh Al- Amal</v>
      </c>
      <c r="D11" s="11">
        <f>Table14[[#This Row],[Pelaksanaan]]</f>
        <v>6</v>
      </c>
      <c r="E11" s="11">
        <f>Table14[[#This Row],[Jumlah PM]]</f>
        <v>83</v>
      </c>
      <c r="G11" s="12" t="s">
        <v>184</v>
      </c>
      <c r="H11" s="11">
        <v>6</v>
      </c>
      <c r="I11" s="11">
        <v>83</v>
      </c>
      <c r="J11" s="13">
        <v>1</v>
      </c>
    </row>
    <row r="12" spans="2:10" ht="15.5" x14ac:dyDescent="0.35">
      <c r="B12" s="11">
        <f>IF(Table12[[#Headers],[Nama Program]]="","",ROW(F8))</f>
        <v>8</v>
      </c>
      <c r="C12" s="87" t="str">
        <f>G15</f>
        <v>Free Food Car</v>
      </c>
      <c r="D12" s="15">
        <f>H15</f>
        <v>5</v>
      </c>
      <c r="E12" s="15">
        <f>I15</f>
        <v>615</v>
      </c>
      <c r="G12" s="32" t="s">
        <v>186</v>
      </c>
      <c r="H12" s="33">
        <f>SUM(H5:H11)</f>
        <v>36</v>
      </c>
      <c r="I12" s="33">
        <f>SUM(I5:I11)</f>
        <v>384</v>
      </c>
      <c r="J12" s="34">
        <f>SUM(J5:J11)</f>
        <v>7</v>
      </c>
    </row>
    <row r="13" spans="2:10" x14ac:dyDescent="0.35">
      <c r="B13" s="11">
        <f>IF(Table12[[#Headers],[Nama Program]]="","",ROW(F9))</f>
        <v>9</v>
      </c>
      <c r="C13" s="87" t="str">
        <f>G16</f>
        <v>Beras Zakat</v>
      </c>
      <c r="D13" s="15">
        <f t="shared" ref="D13:E13" si="0">H16</f>
        <v>3</v>
      </c>
      <c r="E13" s="15">
        <f t="shared" si="0"/>
        <v>2080</v>
      </c>
      <c r="G13" s="16"/>
      <c r="H13" s="17"/>
      <c r="I13" s="17"/>
    </row>
    <row r="14" spans="2:10" x14ac:dyDescent="0.35">
      <c r="B14" s="11">
        <f>IF(Table12[[#Headers],[Nama Program]]="","",ROW(F10))</f>
        <v>10</v>
      </c>
      <c r="C14" s="87" t="str">
        <f t="shared" ref="C14:E14" si="1">G17</f>
        <v>Beras untuk Yatim Dhufa</v>
      </c>
      <c r="D14" s="15">
        <f t="shared" si="1"/>
        <v>4</v>
      </c>
      <c r="E14" s="15">
        <f t="shared" si="1"/>
        <v>800</v>
      </c>
      <c r="G14" s="8" t="s">
        <v>188</v>
      </c>
      <c r="H14" s="9" t="s">
        <v>193</v>
      </c>
      <c r="I14" s="9" t="s">
        <v>179</v>
      </c>
      <c r="J14" s="18" t="s">
        <v>181</v>
      </c>
    </row>
    <row r="15" spans="2:10" x14ac:dyDescent="0.35">
      <c r="B15" s="11">
        <f>IF(Table12[[#Headers],[Nama Program]]="","",ROW(F11))</f>
        <v>11</v>
      </c>
      <c r="C15" s="87" t="str">
        <f t="shared" ref="C15:E15" si="2">G18</f>
        <v>Snack Ceria</v>
      </c>
      <c r="D15" s="15">
        <f t="shared" si="2"/>
        <v>6</v>
      </c>
      <c r="E15" s="15">
        <f t="shared" si="2"/>
        <v>238</v>
      </c>
      <c r="G15" s="19" t="s">
        <v>185</v>
      </c>
      <c r="H15" s="15">
        <v>5</v>
      </c>
      <c r="I15" s="11">
        <v>615</v>
      </c>
      <c r="J15" s="13">
        <v>5</v>
      </c>
    </row>
    <row r="16" spans="2:10" x14ac:dyDescent="0.35">
      <c r="B16" s="11">
        <f>IF(Table12[[#Headers],[Nama Program]]="","",ROW(F12))</f>
        <v>12</v>
      </c>
      <c r="C16" s="87" t="str">
        <f t="shared" ref="C16:E17" si="3">G19</f>
        <v>Hadiah Sembako</v>
      </c>
      <c r="D16" s="15">
        <f t="shared" si="3"/>
        <v>2</v>
      </c>
      <c r="E16" s="15">
        <f t="shared" si="3"/>
        <v>300</v>
      </c>
      <c r="G16" s="19" t="s">
        <v>498</v>
      </c>
      <c r="H16" s="15">
        <v>3</v>
      </c>
      <c r="I16" s="11">
        <v>2080</v>
      </c>
      <c r="J16" s="13">
        <v>3</v>
      </c>
    </row>
    <row r="17" spans="2:10" x14ac:dyDescent="0.35">
      <c r="B17" s="11">
        <f>IF(Table12[[#Headers],[Nama Program]]="","",ROW(F13))</f>
        <v>13</v>
      </c>
      <c r="C17" s="87" t="str">
        <f>G20</f>
        <v>Bebagi Takjil</v>
      </c>
      <c r="D17" s="15">
        <f t="shared" si="3"/>
        <v>6</v>
      </c>
      <c r="E17" s="15">
        <f t="shared" si="3"/>
        <v>558</v>
      </c>
      <c r="G17" s="19" t="s">
        <v>187</v>
      </c>
      <c r="H17" s="15">
        <v>4</v>
      </c>
      <c r="I17" s="11">
        <v>800</v>
      </c>
      <c r="J17" s="13">
        <v>4</v>
      </c>
    </row>
    <row r="18" spans="2:10" x14ac:dyDescent="0.35">
      <c r="B18" s="11">
        <f>IF(Table12[[#Headers],[Nama Program]]="","",ROW(F14))</f>
        <v>14</v>
      </c>
      <c r="C18" s="87" t="str">
        <f>G21</f>
        <v>Berbagi Sahur</v>
      </c>
      <c r="D18" s="15">
        <f>H21</f>
        <v>2</v>
      </c>
      <c r="E18" s="15">
        <f>I21</f>
        <v>100</v>
      </c>
      <c r="G18" s="19" t="s">
        <v>9</v>
      </c>
      <c r="H18" s="15">
        <v>6</v>
      </c>
      <c r="I18" s="11">
        <v>238</v>
      </c>
      <c r="J18" s="13">
        <v>4</v>
      </c>
    </row>
    <row r="19" spans="2:10" x14ac:dyDescent="0.35">
      <c r="B19" s="11">
        <f>IF(Table12[[#Headers],[Nama Program]]="","",ROW(F15))</f>
        <v>15</v>
      </c>
      <c r="C19" s="87" t="str">
        <f t="shared" ref="C19:E19" si="4">G22</f>
        <v>Rice Box</v>
      </c>
      <c r="D19" s="15">
        <f t="shared" si="4"/>
        <v>11</v>
      </c>
      <c r="E19" s="15">
        <f t="shared" si="4"/>
        <v>1055</v>
      </c>
      <c r="G19" s="19" t="s">
        <v>380</v>
      </c>
      <c r="H19" s="15">
        <v>2</v>
      </c>
      <c r="I19" s="11">
        <v>300</v>
      </c>
      <c r="J19" s="13">
        <v>2</v>
      </c>
    </row>
    <row r="20" spans="2:10" x14ac:dyDescent="0.35">
      <c r="B20" s="11">
        <f>IF(Table12[[#Headers],[Nama Program]]="","",ROW(F16))</f>
        <v>16</v>
      </c>
      <c r="C20" s="87" t="str">
        <f>Table3[[PROGRAM PEMBERDAYAAN ]]</f>
        <v>Program Pemberdayaan Pembuatan Keset Kaki</v>
      </c>
      <c r="D20" s="15">
        <f>Table3[Pelaksanaan]</f>
        <v>1</v>
      </c>
      <c r="E20" s="15">
        <f>Table3[Jumlah PM]</f>
        <v>17</v>
      </c>
      <c r="G20" s="19" t="s">
        <v>526</v>
      </c>
      <c r="H20" s="15">
        <v>6</v>
      </c>
      <c r="I20" s="11">
        <v>558</v>
      </c>
      <c r="J20" s="13">
        <v>6</v>
      </c>
    </row>
    <row r="21" spans="2:10" x14ac:dyDescent="0.35">
      <c r="B21" s="11">
        <f>IF(Table12[[#Headers],[Nama Program]]="","",ROW(F17))</f>
        <v>17</v>
      </c>
      <c r="C21" s="87" t="str">
        <f>G29</f>
        <v>Belanja Bareng Yatim Dhuafa</v>
      </c>
      <c r="D21" s="15">
        <f t="shared" ref="D21:E21" si="5">H29</f>
        <v>1</v>
      </c>
      <c r="E21" s="15">
        <f t="shared" si="5"/>
        <v>182</v>
      </c>
      <c r="G21" s="19" t="s">
        <v>387</v>
      </c>
      <c r="H21" s="15">
        <v>2</v>
      </c>
      <c r="I21" s="11">
        <v>100</v>
      </c>
      <c r="J21" s="13">
        <v>2</v>
      </c>
    </row>
    <row r="22" spans="2:10" x14ac:dyDescent="0.35">
      <c r="B22" s="11">
        <f>IF(Table12[[#Headers],[Nama Program]]="","",ROW(F18))</f>
        <v>18</v>
      </c>
      <c r="C22" s="87" t="str">
        <f>G30</f>
        <v>Gathering Relawan</v>
      </c>
      <c r="D22" s="15">
        <f t="shared" ref="D22:E22" si="6">H30</f>
        <v>2</v>
      </c>
      <c r="E22" s="15">
        <f t="shared" si="6"/>
        <v>500</v>
      </c>
      <c r="G22" s="19" t="s">
        <v>238</v>
      </c>
      <c r="H22" s="15">
        <v>11</v>
      </c>
      <c r="I22" s="11">
        <v>1055</v>
      </c>
      <c r="J22" s="13">
        <v>10</v>
      </c>
    </row>
    <row r="23" spans="2:10" ht="15.5" x14ac:dyDescent="0.35">
      <c r="B23" s="11">
        <f>IF(Table12[[#Headers],[Nama Program]]="","",ROW(F19))</f>
        <v>19</v>
      </c>
      <c r="C23" s="88" t="str">
        <f>G31</f>
        <v>Pesantren Ramadhan</v>
      </c>
      <c r="D23" s="31">
        <f>H31</f>
        <v>5</v>
      </c>
      <c r="E23" s="31">
        <f>I31</f>
        <v>1800</v>
      </c>
      <c r="G23" s="32" t="s">
        <v>186</v>
      </c>
      <c r="H23" s="35">
        <f>SUM(H15:H22)</f>
        <v>39</v>
      </c>
      <c r="I23" s="35">
        <f>SUM(I15:I22)</f>
        <v>5746</v>
      </c>
      <c r="J23" s="36">
        <f>SUM(J15:J22)</f>
        <v>36</v>
      </c>
    </row>
    <row r="24" spans="2:10" x14ac:dyDescent="0.35">
      <c r="B24" s="11">
        <f>IF(Table12[[#Headers],[Nama Program]]="","",ROW(F20))</f>
        <v>20</v>
      </c>
      <c r="C24" s="42" t="str">
        <f>G35</f>
        <v>Distribusi Air Bersih</v>
      </c>
      <c r="D24" s="45">
        <f>H35</f>
        <v>1</v>
      </c>
      <c r="E24" s="45">
        <f>I35</f>
        <v>1000</v>
      </c>
    </row>
    <row r="25" spans="2:10" x14ac:dyDescent="0.35">
      <c r="B25" s="11">
        <f>IF(Table12[[#Headers],[Nama Program]]="","",ROW(F21))</f>
        <v>21</v>
      </c>
      <c r="C25" s="89" t="str">
        <f>G39</f>
        <v>Bantuan Belanja Bareng Lansia</v>
      </c>
      <c r="D25" s="55">
        <f t="shared" ref="D25:E29" si="7">H39</f>
        <v>1</v>
      </c>
      <c r="E25" s="55">
        <f t="shared" si="7"/>
        <v>25</v>
      </c>
      <c r="G25" s="20" t="s">
        <v>190</v>
      </c>
      <c r="H25" s="9" t="s">
        <v>193</v>
      </c>
      <c r="I25" s="9" t="s">
        <v>179</v>
      </c>
      <c r="J25" s="18" t="s">
        <v>181</v>
      </c>
    </row>
    <row r="26" spans="2:10" x14ac:dyDescent="0.35">
      <c r="B26" s="11">
        <f>IF(Table12[[#Headers],[Nama Program]]="","",ROW(F22))</f>
        <v>22</v>
      </c>
      <c r="C26" s="89" t="str">
        <f t="shared" ref="C26:C29" si="8">G40</f>
        <v>Bantuan Belanja Bareng Yatim Dhuafa</v>
      </c>
      <c r="D26" s="55">
        <f t="shared" si="7"/>
        <v>1</v>
      </c>
      <c r="E26" s="55">
        <f t="shared" si="7"/>
        <v>75</v>
      </c>
      <c r="G26" s="21" t="s">
        <v>191</v>
      </c>
      <c r="H26" s="22">
        <v>1</v>
      </c>
      <c r="I26" s="22">
        <v>17</v>
      </c>
      <c r="J26" s="23">
        <v>1</v>
      </c>
    </row>
    <row r="27" spans="2:10" x14ac:dyDescent="0.35">
      <c r="B27" s="11">
        <f>IF(Table12[[#Headers],[Nama Program]]="","",ROW(F23))</f>
        <v>23</v>
      </c>
      <c r="C27" s="89" t="str">
        <f t="shared" si="8"/>
        <v>Bantuan Berbagi Buka Puasa</v>
      </c>
      <c r="D27" s="55">
        <f t="shared" si="7"/>
        <v>4</v>
      </c>
      <c r="E27" s="55">
        <f t="shared" si="7"/>
        <v>230</v>
      </c>
      <c r="H27" s="24"/>
      <c r="I27" s="24"/>
    </row>
    <row r="28" spans="2:10" x14ac:dyDescent="0.35">
      <c r="B28" s="11">
        <f>IF(Table12[[#Headers],[Nama Program]]="","",ROW(F24))</f>
        <v>24</v>
      </c>
      <c r="C28" s="89" t="str">
        <f t="shared" si="8"/>
        <v>Bantuan Pembangunan Sumur Bor</v>
      </c>
      <c r="D28" s="55">
        <f t="shared" si="7"/>
        <v>2</v>
      </c>
      <c r="E28" s="55">
        <f t="shared" si="7"/>
        <v>1430</v>
      </c>
      <c r="G28" s="20" t="s">
        <v>192</v>
      </c>
      <c r="H28" s="9" t="s">
        <v>193</v>
      </c>
      <c r="I28" s="9" t="s">
        <v>179</v>
      </c>
      <c r="J28" s="18" t="s">
        <v>181</v>
      </c>
    </row>
    <row r="29" spans="2:10" x14ac:dyDescent="0.35">
      <c r="B29" s="11">
        <f>IF(Table12[[#Headers],[Nama Program]]="","",ROW(F25))</f>
        <v>25</v>
      </c>
      <c r="C29" s="89" t="str">
        <f t="shared" si="8"/>
        <v>Bantuan Sembako Guru Ngaji</v>
      </c>
      <c r="D29" s="55">
        <f t="shared" si="7"/>
        <v>1</v>
      </c>
      <c r="E29" s="55">
        <f t="shared" si="7"/>
        <v>54</v>
      </c>
      <c r="G29" s="90" t="s">
        <v>475</v>
      </c>
      <c r="H29" s="91">
        <v>1</v>
      </c>
      <c r="I29" s="91">
        <v>182</v>
      </c>
      <c r="J29" s="92">
        <v>1</v>
      </c>
    </row>
    <row r="30" spans="2:10" x14ac:dyDescent="0.35">
      <c r="B30" s="11">
        <f>IF(Table12[[#Headers],[Nama Program]]="","",ROW(F26))</f>
        <v>26</v>
      </c>
      <c r="C30" s="89" t="str">
        <f>G47</f>
        <v>Distribusi Al-Qur'an</v>
      </c>
      <c r="D30" s="55">
        <f t="shared" ref="D30:E30" si="9">H47</f>
        <v>5</v>
      </c>
      <c r="E30" s="55">
        <f t="shared" si="9"/>
        <v>419</v>
      </c>
      <c r="G30" s="90" t="s">
        <v>384</v>
      </c>
      <c r="H30" s="91">
        <v>2</v>
      </c>
      <c r="I30" s="91">
        <v>500</v>
      </c>
      <c r="J30" s="92">
        <v>2</v>
      </c>
    </row>
    <row r="31" spans="2:10" x14ac:dyDescent="0.35">
      <c r="B31" s="11">
        <f>IF(Table12[[#Headers],[Nama Program]]="","",ROW(F27))</f>
        <v>27</v>
      </c>
      <c r="C31" s="89" t="str">
        <f>G48</f>
        <v>Masjid Clean Up &amp; Air Mineral Masjid</v>
      </c>
      <c r="D31" s="55">
        <f t="shared" ref="D31:E31" si="10">H48</f>
        <v>2</v>
      </c>
      <c r="E31" s="55">
        <f t="shared" si="10"/>
        <v>300</v>
      </c>
      <c r="G31" s="25" t="s">
        <v>393</v>
      </c>
      <c r="H31" s="31">
        <v>5</v>
      </c>
      <c r="I31" s="31">
        <v>1800</v>
      </c>
      <c r="J31" s="13">
        <v>5</v>
      </c>
    </row>
    <row r="32" spans="2:10" ht="15.5" x14ac:dyDescent="0.35">
      <c r="G32" s="37" t="s">
        <v>186</v>
      </c>
      <c r="H32" s="38">
        <f>SUM(H29:H31)</f>
        <v>8</v>
      </c>
      <c r="I32" s="38">
        <f t="shared" ref="I32:J32" si="11">SUM(I29:I31)</f>
        <v>2482</v>
      </c>
      <c r="J32" s="38">
        <f t="shared" si="11"/>
        <v>8</v>
      </c>
    </row>
    <row r="33" spans="2:11" x14ac:dyDescent="0.35">
      <c r="G33" s="3"/>
      <c r="H33" s="27"/>
      <c r="I33" s="27"/>
      <c r="J33" s="27"/>
    </row>
    <row r="34" spans="2:11" ht="21" x14ac:dyDescent="0.5">
      <c r="B34" s="107" t="s">
        <v>189</v>
      </c>
      <c r="C34" s="108"/>
      <c r="D34" s="47">
        <f>SUM(D5:D31)</f>
        <v>101</v>
      </c>
      <c r="E34" s="47">
        <f>SUM(E5:E31)</f>
        <v>12162</v>
      </c>
      <c r="G34" s="28" t="s">
        <v>527</v>
      </c>
      <c r="H34" s="29" t="s">
        <v>193</v>
      </c>
      <c r="I34" s="29" t="s">
        <v>179</v>
      </c>
      <c r="J34" s="10" t="s">
        <v>181</v>
      </c>
      <c r="K34" s="26"/>
    </row>
    <row r="35" spans="2:11" x14ac:dyDescent="0.35">
      <c r="G35" s="42" t="s">
        <v>240</v>
      </c>
      <c r="H35" s="45">
        <v>1</v>
      </c>
      <c r="I35" s="45">
        <v>1000</v>
      </c>
      <c r="J35" s="45">
        <v>1</v>
      </c>
      <c r="K35" s="26"/>
    </row>
    <row r="36" spans="2:11" ht="15.5" x14ac:dyDescent="0.35">
      <c r="G36" s="46" t="s">
        <v>186</v>
      </c>
      <c r="H36" s="44">
        <f>SUM(H35:H35)</f>
        <v>1</v>
      </c>
      <c r="I36" s="44">
        <f>SUM(I35:I35)</f>
        <v>1000</v>
      </c>
      <c r="J36" s="44">
        <f>SUM(J35:J35)</f>
        <v>1</v>
      </c>
      <c r="K36" s="26"/>
    </row>
    <row r="38" spans="2:11" x14ac:dyDescent="0.35">
      <c r="G38" s="28" t="s">
        <v>333</v>
      </c>
      <c r="H38" s="29" t="s">
        <v>193</v>
      </c>
      <c r="I38" s="29" t="s">
        <v>179</v>
      </c>
      <c r="J38" s="10" t="s">
        <v>181</v>
      </c>
    </row>
    <row r="39" spans="2:11" x14ac:dyDescent="0.35">
      <c r="G39" s="54" t="s">
        <v>503</v>
      </c>
      <c r="H39" s="55">
        <v>1</v>
      </c>
      <c r="I39" s="55">
        <v>25</v>
      </c>
      <c r="J39" s="56">
        <v>1</v>
      </c>
    </row>
    <row r="40" spans="2:11" x14ac:dyDescent="0.35">
      <c r="G40" s="54" t="s">
        <v>504</v>
      </c>
      <c r="H40" s="55">
        <v>1</v>
      </c>
      <c r="I40" s="55">
        <v>75</v>
      </c>
      <c r="J40" s="56">
        <v>1</v>
      </c>
    </row>
    <row r="41" spans="2:11" x14ac:dyDescent="0.35">
      <c r="G41" s="54" t="s">
        <v>502</v>
      </c>
      <c r="H41" s="55">
        <v>4</v>
      </c>
      <c r="I41" s="55">
        <v>230</v>
      </c>
      <c r="J41" s="56">
        <v>4</v>
      </c>
    </row>
    <row r="42" spans="2:11" x14ac:dyDescent="0.35">
      <c r="G42" s="54" t="s">
        <v>355</v>
      </c>
      <c r="H42" s="55">
        <v>2</v>
      </c>
      <c r="I42" s="55">
        <v>1430</v>
      </c>
      <c r="J42" s="56">
        <v>2</v>
      </c>
    </row>
    <row r="43" spans="2:11" x14ac:dyDescent="0.35">
      <c r="G43" s="2" t="s">
        <v>505</v>
      </c>
      <c r="H43" s="55">
        <v>1</v>
      </c>
      <c r="I43" s="55">
        <v>54</v>
      </c>
      <c r="J43" s="56">
        <v>1</v>
      </c>
    </row>
    <row r="44" spans="2:11" ht="15.5" x14ac:dyDescent="0.35">
      <c r="G44" s="46" t="s">
        <v>186</v>
      </c>
      <c r="H44" s="44">
        <f>SUM(H39:H43)</f>
        <v>9</v>
      </c>
      <c r="I44" s="44">
        <f>SUM(I39:I43)</f>
        <v>1814</v>
      </c>
      <c r="J44" s="44">
        <f>SUM(J39:J43)</f>
        <v>9</v>
      </c>
    </row>
    <row r="46" spans="2:11" x14ac:dyDescent="0.35">
      <c r="G46" s="28" t="s">
        <v>528</v>
      </c>
      <c r="H46" s="29" t="s">
        <v>193</v>
      </c>
      <c r="I46" s="29" t="s">
        <v>179</v>
      </c>
      <c r="J46" s="10" t="s">
        <v>181</v>
      </c>
    </row>
    <row r="47" spans="2:11" x14ac:dyDescent="0.35">
      <c r="G47" s="54" t="s">
        <v>19</v>
      </c>
      <c r="H47" s="55">
        <v>5</v>
      </c>
      <c r="I47" s="55">
        <v>419</v>
      </c>
      <c r="J47" s="56">
        <v>5</v>
      </c>
    </row>
    <row r="48" spans="2:11" x14ac:dyDescent="0.35">
      <c r="G48" s="54" t="s">
        <v>390</v>
      </c>
      <c r="H48" s="55">
        <v>2</v>
      </c>
      <c r="I48" s="55">
        <v>300</v>
      </c>
      <c r="J48" s="56">
        <v>2</v>
      </c>
    </row>
    <row r="49" spans="7:10" ht="15.5" x14ac:dyDescent="0.35">
      <c r="G49" s="46" t="s">
        <v>186</v>
      </c>
      <c r="H49" s="44">
        <f>SUM(H47:H48)</f>
        <v>7</v>
      </c>
      <c r="I49" s="44">
        <f>SUM(I47:I48)</f>
        <v>719</v>
      </c>
      <c r="J49" s="44">
        <f>SUM(J47:J48)</f>
        <v>7</v>
      </c>
    </row>
    <row r="52" spans="7:10" ht="18.5" x14ac:dyDescent="0.45">
      <c r="G52" s="30" t="s">
        <v>189</v>
      </c>
      <c r="H52" s="30" cm="1">
        <f t="array" ref="H52">H12+H23+Table3[Pelaksanaan]+H32+H36+H44+H49</f>
        <v>101</v>
      </c>
      <c r="I52" s="30" cm="1">
        <f t="array" ref="I52">I12+I23+Table3[Jumlah PM]+I32+I36+I44+I49</f>
        <v>12162</v>
      </c>
      <c r="J52" s="30" cm="1">
        <f t="array" ref="J52">J12+J23+Table3[Jumlah Titik Lokasi]+J32+J36+J44+J49</f>
        <v>69</v>
      </c>
    </row>
    <row r="1048499" spans="3:3" x14ac:dyDescent="0.35">
      <c r="C1048499" s="14" t="s">
        <v>194</v>
      </c>
    </row>
  </sheetData>
  <mergeCells count="3">
    <mergeCell ref="B2:E2"/>
    <mergeCell ref="G2:J2"/>
    <mergeCell ref="B34:C34"/>
  </mergeCells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08314-68F1-46D2-8424-7A44F14D6B79}">
  <dimension ref="B1:T1048507"/>
  <sheetViews>
    <sheetView topLeftCell="A10" zoomScale="36" zoomScaleNormal="50" workbookViewId="0">
      <selection activeCell="H41" sqref="H41"/>
    </sheetView>
  </sheetViews>
  <sheetFormatPr defaultRowHeight="14.5" x14ac:dyDescent="0.35"/>
  <cols>
    <col min="2" max="2" width="5.1796875" customWidth="1"/>
    <col min="3" max="3" width="72.81640625" style="6" customWidth="1"/>
    <col min="4" max="4" width="18.81640625" style="7" customWidth="1"/>
    <col min="5" max="5" width="18.6328125" style="7" bestFit="1" customWidth="1"/>
    <col min="6" max="6" width="10.90625" customWidth="1"/>
    <col min="7" max="7" width="8.81640625" style="7" customWidth="1"/>
    <col min="8" max="8" width="72.81640625" style="7" bestFit="1" customWidth="1"/>
    <col min="9" max="9" width="22.90625" style="7" customWidth="1"/>
    <col min="10" max="10" width="18.54296875" customWidth="1"/>
    <col min="11" max="11" width="7.7265625" customWidth="1"/>
    <col min="12" max="12" width="11.1796875" customWidth="1"/>
    <col min="13" max="13" width="70.26953125" customWidth="1"/>
    <col min="14" max="14" width="22.81640625" customWidth="1"/>
    <col min="15" max="15" width="15.54296875" customWidth="1"/>
    <col min="16" max="16" width="7" customWidth="1"/>
    <col min="17" max="17" width="8.6328125" customWidth="1"/>
    <col min="18" max="18" width="72.81640625" bestFit="1" customWidth="1"/>
    <col min="19" max="19" width="17" customWidth="1"/>
    <col min="20" max="20" width="16.81640625" customWidth="1"/>
    <col min="21" max="24" width="47.54296875" customWidth="1"/>
  </cols>
  <sheetData>
    <row r="1" spans="2:20" ht="15" thickBot="1" x14ac:dyDescent="0.4"/>
    <row r="2" spans="2:20" ht="26.5" thickBot="1" x14ac:dyDescent="0.65">
      <c r="B2" s="112" t="s">
        <v>336</v>
      </c>
      <c r="C2" s="113"/>
      <c r="D2" s="113"/>
      <c r="E2" s="114"/>
      <c r="G2" s="112" t="s">
        <v>337</v>
      </c>
      <c r="H2" s="113"/>
      <c r="I2" s="113"/>
      <c r="J2" s="114"/>
      <c r="L2" s="112" t="s">
        <v>339</v>
      </c>
      <c r="M2" s="113"/>
      <c r="N2" s="113"/>
      <c r="O2" s="114"/>
      <c r="Q2" s="112" t="s">
        <v>342</v>
      </c>
      <c r="R2" s="113"/>
      <c r="S2" s="113"/>
      <c r="T2" s="114"/>
    </row>
    <row r="3" spans="2:20" x14ac:dyDescent="0.35">
      <c r="G3"/>
      <c r="H3" s="6"/>
      <c r="J3" s="7"/>
      <c r="M3" s="6"/>
      <c r="N3" s="7"/>
      <c r="O3" s="7"/>
      <c r="R3" s="6"/>
      <c r="S3" s="7"/>
      <c r="T3" s="7"/>
    </row>
    <row r="4" spans="2:20" ht="29" x14ac:dyDescent="0.35">
      <c r="B4" s="40" t="s">
        <v>28</v>
      </c>
      <c r="C4" s="40" t="s">
        <v>177</v>
      </c>
      <c r="D4" s="85" t="s">
        <v>178</v>
      </c>
      <c r="E4" s="86" t="s">
        <v>179</v>
      </c>
      <c r="G4" s="40" t="s">
        <v>28</v>
      </c>
      <c r="H4" s="40" t="s">
        <v>177</v>
      </c>
      <c r="I4" s="40" t="s">
        <v>178</v>
      </c>
      <c r="J4" s="41" t="s">
        <v>179</v>
      </c>
      <c r="L4" s="40" t="s">
        <v>28</v>
      </c>
      <c r="M4" s="40" t="s">
        <v>177</v>
      </c>
      <c r="N4" s="40" t="s">
        <v>178</v>
      </c>
      <c r="O4" s="41" t="s">
        <v>179</v>
      </c>
      <c r="Q4" s="40" t="s">
        <v>28</v>
      </c>
      <c r="R4" s="40" t="s">
        <v>177</v>
      </c>
      <c r="S4" s="40" t="s">
        <v>178</v>
      </c>
      <c r="T4" s="41" t="s">
        <v>179</v>
      </c>
    </row>
    <row r="5" spans="2:20" x14ac:dyDescent="0.35">
      <c r="B5" s="11">
        <f>IF(Table12241019[[#Headers],[Nama Program]]="","",ROW(F1))</f>
        <v>1</v>
      </c>
      <c r="C5" s="42" t="s">
        <v>291</v>
      </c>
      <c r="D5" s="45">
        <v>2</v>
      </c>
      <c r="E5" s="45">
        <v>2400</v>
      </c>
      <c r="G5" s="11">
        <f>IF(Table1224304625[[#Headers],[Nama Program]]="","",ROW(K1))</f>
        <v>1</v>
      </c>
      <c r="H5" s="54" t="s">
        <v>266</v>
      </c>
      <c r="I5" s="55">
        <v>2</v>
      </c>
      <c r="J5" s="55">
        <v>130</v>
      </c>
      <c r="L5" s="11">
        <f>IF(Table1224195130[[#Headers],[Nama Program]]="","",ROW(P1))</f>
        <v>1</v>
      </c>
      <c r="M5" s="42" t="s">
        <v>291</v>
      </c>
      <c r="N5" s="45">
        <v>5</v>
      </c>
      <c r="O5" s="45">
        <v>6000</v>
      </c>
      <c r="Q5" s="11">
        <f>IF(Table1224365736[[#Headers],[Nama Program]]="","",ROW(U1))</f>
        <v>1</v>
      </c>
      <c r="R5" s="54" t="s">
        <v>344</v>
      </c>
      <c r="S5" s="55">
        <v>1</v>
      </c>
      <c r="T5" s="55">
        <v>850</v>
      </c>
    </row>
    <row r="6" spans="2:20" x14ac:dyDescent="0.35">
      <c r="B6" s="11">
        <f>IF(Table12241019[[#Headers],[Nama Program]]="","",ROW(F2))</f>
        <v>2</v>
      </c>
      <c r="C6" s="42" t="s">
        <v>382</v>
      </c>
      <c r="D6" s="45">
        <v>5</v>
      </c>
      <c r="E6" s="45">
        <v>2016</v>
      </c>
      <c r="G6" s="11">
        <f>IF(Table1224304625[[#Headers],[Nama Program]]="","",ROW(K2))</f>
        <v>2</v>
      </c>
      <c r="H6" s="2" t="s">
        <v>328</v>
      </c>
      <c r="I6" s="45">
        <v>5</v>
      </c>
      <c r="J6" s="45">
        <v>1100</v>
      </c>
      <c r="L6" s="11">
        <f>IF(Table1224195130[[#Headers],[Nama Program]]="","",ROW(P2))</f>
        <v>2</v>
      </c>
      <c r="M6" s="54" t="s">
        <v>266</v>
      </c>
      <c r="N6" s="55">
        <v>9</v>
      </c>
      <c r="O6" s="55">
        <v>601</v>
      </c>
      <c r="Q6" s="11">
        <f>IF(Table1224365736[[#Headers],[Nama Program]]="","",ROW(U2))</f>
        <v>2</v>
      </c>
      <c r="R6" s="2" t="s">
        <v>328</v>
      </c>
      <c r="S6" s="45">
        <v>2</v>
      </c>
      <c r="T6" s="45">
        <v>220</v>
      </c>
    </row>
    <row r="7" spans="2:20" x14ac:dyDescent="0.35">
      <c r="B7" s="11">
        <f>IF(Table12241019[[#Headers],[Nama Program]]="","",ROW(F3))</f>
        <v>3</v>
      </c>
      <c r="C7" s="54" t="s">
        <v>266</v>
      </c>
      <c r="D7" s="55">
        <v>12</v>
      </c>
      <c r="E7" s="55">
        <v>759</v>
      </c>
      <c r="G7" s="11">
        <f>IF(Table1224304625[[#Headers],[Nama Program]]="","",ROW(K3))</f>
        <v>3</v>
      </c>
      <c r="H7" s="54" t="s">
        <v>329</v>
      </c>
      <c r="I7" s="55">
        <v>4</v>
      </c>
      <c r="J7" s="55">
        <v>720</v>
      </c>
      <c r="L7" s="11">
        <f>IF(Table1224195130[[#Headers],[Nama Program]]="","",ROW(P3))</f>
        <v>3</v>
      </c>
      <c r="M7" s="2" t="s">
        <v>284</v>
      </c>
      <c r="N7" s="45">
        <v>1</v>
      </c>
      <c r="O7" s="45">
        <v>147</v>
      </c>
      <c r="Q7" s="11">
        <f>IF(Table1224365736[[#Headers],[Nama Program]]="","",ROW(U3))</f>
        <v>3</v>
      </c>
      <c r="R7" s="54" t="s">
        <v>329</v>
      </c>
      <c r="S7" s="55">
        <v>3</v>
      </c>
      <c r="T7" s="55">
        <v>276</v>
      </c>
    </row>
    <row r="8" spans="2:20" x14ac:dyDescent="0.35">
      <c r="B8" s="11">
        <f>IF(Table12241019[[#Headers],[Nama Program]]="","",ROW(F4))</f>
        <v>4</v>
      </c>
      <c r="C8" s="2" t="s">
        <v>284</v>
      </c>
      <c r="D8" s="45">
        <v>6</v>
      </c>
      <c r="E8" s="45">
        <v>465</v>
      </c>
      <c r="G8" s="11">
        <f>IF(Table1224304625[[#Headers],[Nama Program]]="","",ROW(K4))</f>
        <v>4</v>
      </c>
      <c r="H8" s="54" t="s">
        <v>334</v>
      </c>
      <c r="I8" s="55">
        <v>1</v>
      </c>
      <c r="J8" s="55">
        <v>30</v>
      </c>
      <c r="L8" s="11">
        <f>IF(Table1224195130[[#Headers],[Nama Program]]="","",ROW(P4))</f>
        <v>4</v>
      </c>
      <c r="M8" s="54" t="s">
        <v>313</v>
      </c>
      <c r="N8" s="55">
        <v>1</v>
      </c>
      <c r="O8" s="55">
        <v>28</v>
      </c>
      <c r="Q8" s="11">
        <f>IF(Table1224365736[[#Headers],[Nama Program]]="","",ROW(U4))</f>
        <v>4</v>
      </c>
      <c r="R8" s="54" t="s">
        <v>250</v>
      </c>
      <c r="S8" s="55">
        <v>4</v>
      </c>
      <c r="T8" s="55">
        <v>261</v>
      </c>
    </row>
    <row r="9" spans="2:20" x14ac:dyDescent="0.35">
      <c r="B9" s="11">
        <f>IF(Table12241019[[#Headers],[Nama Program]]="","",ROW(F5))</f>
        <v>5</v>
      </c>
      <c r="C9" s="54" t="s">
        <v>313</v>
      </c>
      <c r="D9" s="55">
        <v>16</v>
      </c>
      <c r="E9" s="55">
        <v>16615</v>
      </c>
      <c r="G9"/>
      <c r="H9" s="6"/>
      <c r="J9" s="7"/>
      <c r="L9" s="11">
        <f>IF(Table1224195130[[#Headers],[Nama Program]]="","",ROW(P5))</f>
        <v>5</v>
      </c>
      <c r="M9" s="2" t="s">
        <v>328</v>
      </c>
      <c r="N9" s="45">
        <v>6</v>
      </c>
      <c r="O9" s="45">
        <v>803</v>
      </c>
      <c r="Q9" s="11">
        <f>IF(Table1224365736[[#Headers],[Nama Program]]="","",ROW(U5))</f>
        <v>5</v>
      </c>
      <c r="R9" s="54" t="s">
        <v>334</v>
      </c>
      <c r="S9" s="55">
        <v>1</v>
      </c>
      <c r="T9" s="55">
        <v>34</v>
      </c>
    </row>
    <row r="10" spans="2:20" ht="21" x14ac:dyDescent="0.5">
      <c r="B10" s="11">
        <f>IF(Table12241019[[#Headers],[Nama Program]]="","",ROW(F6))</f>
        <v>6</v>
      </c>
      <c r="C10" s="2" t="s">
        <v>328</v>
      </c>
      <c r="D10" s="45">
        <v>21</v>
      </c>
      <c r="E10" s="45">
        <v>2938</v>
      </c>
      <c r="G10" s="107" t="s">
        <v>189</v>
      </c>
      <c r="H10" s="108"/>
      <c r="I10" s="66">
        <f>SUM(I5:I8)</f>
        <v>12</v>
      </c>
      <c r="J10" s="66">
        <f>SUM(J5:J8)</f>
        <v>1980</v>
      </c>
      <c r="L10" s="11">
        <f>IF(Table1224195130[[#Headers],[Nama Program]]="","",ROW(P6))</f>
        <v>6</v>
      </c>
      <c r="M10" s="54" t="s">
        <v>329</v>
      </c>
      <c r="N10" s="55">
        <v>2</v>
      </c>
      <c r="O10" s="55">
        <v>90</v>
      </c>
      <c r="R10" s="6"/>
      <c r="S10" s="7"/>
      <c r="T10" s="7"/>
    </row>
    <row r="11" spans="2:20" ht="21" x14ac:dyDescent="0.5">
      <c r="B11" s="11">
        <f>IF(Table12241019[[#Headers],[Nama Program]]="","",ROW(F7))</f>
        <v>7</v>
      </c>
      <c r="C11" s="54" t="s">
        <v>324</v>
      </c>
      <c r="D11" s="55">
        <v>6</v>
      </c>
      <c r="E11" s="55">
        <v>261</v>
      </c>
      <c r="G11"/>
      <c r="H11" s="6"/>
      <c r="J11" s="7"/>
      <c r="L11" s="11">
        <f>IF(Table1224195130[[#Headers],[Nama Program]]="","",ROW(P7))</f>
        <v>7</v>
      </c>
      <c r="M11" s="54" t="s">
        <v>335</v>
      </c>
      <c r="N11" s="55">
        <v>4</v>
      </c>
      <c r="O11" s="55">
        <v>225</v>
      </c>
      <c r="Q11" s="107" t="s">
        <v>189</v>
      </c>
      <c r="R11" s="108"/>
      <c r="S11" s="67">
        <f>SUM(S5:S9)</f>
        <v>11</v>
      </c>
      <c r="T11" s="67">
        <v>1611</v>
      </c>
    </row>
    <row r="12" spans="2:20" x14ac:dyDescent="0.35">
      <c r="B12" s="11">
        <f>IF(Table12241019[[#Headers],[Nama Program]]="","",ROW(F8))</f>
        <v>8</v>
      </c>
      <c r="C12" s="54" t="s">
        <v>323</v>
      </c>
      <c r="D12" s="55">
        <v>1</v>
      </c>
      <c r="E12" s="55">
        <v>85</v>
      </c>
      <c r="G12"/>
      <c r="H12" s="6"/>
      <c r="J12" s="7"/>
      <c r="M12" s="6"/>
      <c r="N12" s="7"/>
      <c r="O12" s="7"/>
      <c r="R12" s="6"/>
      <c r="S12" s="7"/>
      <c r="T12" s="7"/>
    </row>
    <row r="13" spans="2:20" ht="21.5" thickBot="1" x14ac:dyDescent="0.55000000000000004">
      <c r="B13" s="11">
        <f>IF(Table12241019[[#Headers],[Nama Program]]="","",ROW(F9))</f>
        <v>9</v>
      </c>
      <c r="C13" s="54" t="s">
        <v>331</v>
      </c>
      <c r="D13" s="55">
        <v>2</v>
      </c>
      <c r="E13" s="55">
        <v>133</v>
      </c>
      <c r="G13"/>
      <c r="H13" s="6"/>
      <c r="J13" s="7"/>
      <c r="L13" s="107" t="s">
        <v>189</v>
      </c>
      <c r="M13" s="108"/>
      <c r="N13" s="67">
        <f>SUM(N5:N11)</f>
        <v>28</v>
      </c>
      <c r="O13" s="67">
        <f>SUM(O5:O11)</f>
        <v>7894</v>
      </c>
      <c r="R13" s="6"/>
      <c r="S13" s="7"/>
      <c r="T13" s="7"/>
    </row>
    <row r="14" spans="2:20" ht="21.5" thickBot="1" x14ac:dyDescent="0.55000000000000004">
      <c r="B14" s="11">
        <f>IF(Table12241019[[#Headers],[Nama Program]]="","",ROW(F10))</f>
        <v>10</v>
      </c>
      <c r="C14" s="54" t="s">
        <v>329</v>
      </c>
      <c r="D14" s="55">
        <v>20</v>
      </c>
      <c r="E14" s="55">
        <v>1286</v>
      </c>
      <c r="G14"/>
      <c r="H14" s="109" t="s">
        <v>338</v>
      </c>
      <c r="I14" s="110"/>
      <c r="J14" s="111"/>
      <c r="M14" s="6"/>
      <c r="N14" s="7"/>
      <c r="O14" s="7"/>
      <c r="R14" s="6"/>
      <c r="S14" s="7"/>
      <c r="T14" s="7"/>
    </row>
    <row r="15" spans="2:20" ht="21.5" thickBot="1" x14ac:dyDescent="0.55000000000000004">
      <c r="B15" s="11">
        <f>IF(Table12241019[[#Headers],[Nama Program]]="","",ROW(F11))</f>
        <v>11</v>
      </c>
      <c r="C15" s="2" t="s">
        <v>330</v>
      </c>
      <c r="D15" s="45">
        <v>8</v>
      </c>
      <c r="E15" s="45">
        <v>498</v>
      </c>
      <c r="G15"/>
      <c r="H15"/>
      <c r="J15" s="7"/>
      <c r="M15" s="6"/>
      <c r="N15" s="7"/>
      <c r="O15" s="7"/>
      <c r="R15" s="109" t="s">
        <v>343</v>
      </c>
      <c r="S15" s="110"/>
      <c r="T15" s="111"/>
    </row>
    <row r="16" spans="2:20" ht="15" thickBot="1" x14ac:dyDescent="0.4">
      <c r="B16" s="11">
        <f>IF(Table12241019[[#Headers],[Nama Program]]="","",ROW(F12))</f>
        <v>12</v>
      </c>
      <c r="C16" s="54" t="s">
        <v>383</v>
      </c>
      <c r="D16" s="55">
        <v>34</v>
      </c>
      <c r="E16" s="55">
        <v>2640</v>
      </c>
      <c r="G16"/>
      <c r="H16" s="64" t="s">
        <v>326</v>
      </c>
      <c r="I16" s="65" t="s">
        <v>193</v>
      </c>
      <c r="J16" s="65" t="s">
        <v>179</v>
      </c>
      <c r="M16" s="6"/>
      <c r="N16" s="7"/>
      <c r="O16" s="7"/>
      <c r="S16" s="7"/>
      <c r="T16" s="7"/>
    </row>
    <row r="17" spans="2:20" ht="21.5" thickBot="1" x14ac:dyDescent="0.55000000000000004">
      <c r="B17" s="11">
        <f>IF(Table12241019[[#Headers],[Nama Program]]="","",ROW(F13))</f>
        <v>13</v>
      </c>
      <c r="C17" s="54" t="s">
        <v>310</v>
      </c>
      <c r="D17" s="55">
        <v>7</v>
      </c>
      <c r="E17" s="55">
        <v>587</v>
      </c>
      <c r="G17"/>
      <c r="H17" s="54" t="s">
        <v>266</v>
      </c>
      <c r="I17" s="55">
        <v>2</v>
      </c>
      <c r="J17" s="55">
        <v>130</v>
      </c>
      <c r="M17" s="109" t="s">
        <v>340</v>
      </c>
      <c r="N17" s="110"/>
      <c r="O17" s="111"/>
      <c r="Q17" s="6"/>
      <c r="R17" s="64" t="s">
        <v>326</v>
      </c>
      <c r="S17" s="65" t="s">
        <v>193</v>
      </c>
      <c r="T17" s="65" t="s">
        <v>179</v>
      </c>
    </row>
    <row r="18" spans="2:20" ht="15.5" x14ac:dyDescent="0.35">
      <c r="B18" s="11">
        <f>IF(Table12241019[[#Headers],[Nama Program]]="","",ROW(F14))</f>
        <v>14</v>
      </c>
      <c r="C18" s="54" t="s">
        <v>346</v>
      </c>
      <c r="D18" s="55">
        <v>1</v>
      </c>
      <c r="E18" s="55">
        <v>370</v>
      </c>
      <c r="G18"/>
      <c r="H18" s="46" t="s">
        <v>186</v>
      </c>
      <c r="I18" s="44">
        <f>SUM(I17:I17)</f>
        <v>2</v>
      </c>
      <c r="J18" s="44">
        <f>SUM(J17:J17)</f>
        <v>130</v>
      </c>
      <c r="N18" s="7"/>
      <c r="O18" s="7"/>
      <c r="R18" s="54" t="s">
        <v>344</v>
      </c>
      <c r="S18" s="55">
        <v>1</v>
      </c>
      <c r="T18" s="55">
        <v>850</v>
      </c>
    </row>
    <row r="19" spans="2:20" ht="15.5" x14ac:dyDescent="0.35">
      <c r="B19" s="11">
        <f>IF(Table12241019[[#Headers],[Nama Program]]="","",ROW(F15))</f>
        <v>15</v>
      </c>
      <c r="C19" s="54" t="s">
        <v>350</v>
      </c>
      <c r="D19" s="55">
        <v>2</v>
      </c>
      <c r="E19" s="55">
        <v>360</v>
      </c>
      <c r="G19"/>
      <c r="H19"/>
      <c r="J19" s="7"/>
      <c r="L19" s="6"/>
      <c r="M19" s="64" t="s">
        <v>325</v>
      </c>
      <c r="N19" s="65" t="s">
        <v>193</v>
      </c>
      <c r="O19" s="65" t="s">
        <v>179</v>
      </c>
      <c r="R19" s="46" t="s">
        <v>186</v>
      </c>
      <c r="S19" s="44">
        <f>SUM(S18:S18)</f>
        <v>1</v>
      </c>
      <c r="T19" s="44">
        <f>SUM(T18:T18)</f>
        <v>850</v>
      </c>
    </row>
    <row r="20" spans="2:20" x14ac:dyDescent="0.35">
      <c r="B20" s="11">
        <f>IF(Table12241019[[#Headers],[Nama Program]]="","",ROW(F16))</f>
        <v>16</v>
      </c>
      <c r="C20" s="54" t="s">
        <v>355</v>
      </c>
      <c r="D20" s="55">
        <v>4</v>
      </c>
      <c r="E20" s="55">
        <v>2000</v>
      </c>
      <c r="G20"/>
      <c r="H20" s="64" t="s">
        <v>327</v>
      </c>
      <c r="I20" s="65" t="s">
        <v>193</v>
      </c>
      <c r="J20" s="65" t="s">
        <v>179</v>
      </c>
      <c r="M20" s="42" t="s">
        <v>291</v>
      </c>
      <c r="N20" s="45">
        <v>5</v>
      </c>
      <c r="O20" s="45">
        <v>6000</v>
      </c>
      <c r="S20" s="7"/>
      <c r="T20" s="7"/>
    </row>
    <row r="21" spans="2:20" ht="15.5" x14ac:dyDescent="0.35">
      <c r="B21" s="11">
        <f>IF(Table12241019[[#Headers],[Nama Program]]="","",ROW(F17))</f>
        <v>17</v>
      </c>
      <c r="C21" s="54" t="s">
        <v>361</v>
      </c>
      <c r="D21" s="55">
        <v>3</v>
      </c>
      <c r="E21" s="55">
        <v>122</v>
      </c>
      <c r="G21"/>
      <c r="H21" s="2" t="s">
        <v>328</v>
      </c>
      <c r="I21" s="45">
        <v>5</v>
      </c>
      <c r="J21" s="45">
        <v>1100</v>
      </c>
      <c r="M21" s="46" t="s">
        <v>186</v>
      </c>
      <c r="N21" s="44">
        <f>SUM(N20:N20)</f>
        <v>5</v>
      </c>
      <c r="O21" s="44">
        <f>SUM(O20:O20)</f>
        <v>6000</v>
      </c>
      <c r="Q21" s="6"/>
      <c r="R21" s="64" t="s">
        <v>327</v>
      </c>
      <c r="S21" s="65" t="s">
        <v>193</v>
      </c>
      <c r="T21" s="65" t="s">
        <v>179</v>
      </c>
    </row>
    <row r="22" spans="2:20" ht="15.5" x14ac:dyDescent="0.35">
      <c r="B22" s="11">
        <f>IF(Table12241019[[#Headers],[Nama Program]]="","",ROW(F18))</f>
        <v>18</v>
      </c>
      <c r="C22" s="54" t="s">
        <v>250</v>
      </c>
      <c r="D22" s="55">
        <v>11</v>
      </c>
      <c r="E22" s="55">
        <v>449</v>
      </c>
      <c r="H22" s="46" t="s">
        <v>186</v>
      </c>
      <c r="I22" s="44">
        <f>SUM(I21:I21)</f>
        <v>5</v>
      </c>
      <c r="J22" s="44">
        <f>SUM(J21:J21)</f>
        <v>1100</v>
      </c>
      <c r="N22" s="7"/>
      <c r="O22" s="7"/>
      <c r="R22" s="2" t="s">
        <v>328</v>
      </c>
      <c r="S22" s="45">
        <v>2</v>
      </c>
      <c r="T22" s="45">
        <v>220</v>
      </c>
    </row>
    <row r="23" spans="2:20" ht="15.5" x14ac:dyDescent="0.35">
      <c r="B23" s="11">
        <f>IF(Table12241019[[#Headers],[Nama Program]]="","",ROW(F19))</f>
        <v>19</v>
      </c>
      <c r="C23" s="54" t="s">
        <v>360</v>
      </c>
      <c r="D23" s="55">
        <v>7</v>
      </c>
      <c r="E23" s="55">
        <v>271</v>
      </c>
      <c r="G23"/>
      <c r="H23"/>
      <c r="J23" s="7"/>
      <c r="L23" s="6"/>
      <c r="M23" s="64" t="s">
        <v>326</v>
      </c>
      <c r="N23" s="65" t="s">
        <v>193</v>
      </c>
      <c r="O23" s="65" t="s">
        <v>179</v>
      </c>
      <c r="R23" s="46" t="s">
        <v>186</v>
      </c>
      <c r="S23" s="44">
        <f>SUM(S22:S22)</f>
        <v>2</v>
      </c>
      <c r="T23" s="44">
        <f>SUM(T22:T22)</f>
        <v>220</v>
      </c>
    </row>
    <row r="24" spans="2:20" x14ac:dyDescent="0.35">
      <c r="B24" s="11">
        <f>IF(Table12241019[[#Headers],[Nama Program]]="","",ROW(F20))</f>
        <v>20</v>
      </c>
      <c r="C24" s="54" t="s">
        <v>370</v>
      </c>
      <c r="D24" s="55">
        <v>1</v>
      </c>
      <c r="E24" s="55">
        <v>100</v>
      </c>
      <c r="G24"/>
      <c r="H24" s="64" t="s">
        <v>332</v>
      </c>
      <c r="I24" s="65" t="s">
        <v>193</v>
      </c>
      <c r="J24" s="65" t="s">
        <v>179</v>
      </c>
      <c r="M24" s="54" t="s">
        <v>266</v>
      </c>
      <c r="N24" s="55">
        <v>9</v>
      </c>
      <c r="O24" s="55">
        <v>601</v>
      </c>
      <c r="S24" s="7"/>
      <c r="T24" s="7"/>
    </row>
    <row r="25" spans="2:20" x14ac:dyDescent="0.35">
      <c r="B25" s="11">
        <f>IF(Table12241019[[#Headers],[Nama Program]]="","",ROW(F21))</f>
        <v>21</v>
      </c>
      <c r="C25" s="54" t="s">
        <v>381</v>
      </c>
      <c r="D25" s="55">
        <v>1</v>
      </c>
      <c r="E25" s="55">
        <v>100</v>
      </c>
      <c r="G25"/>
      <c r="H25" s="54" t="s">
        <v>329</v>
      </c>
      <c r="I25" s="55">
        <v>4</v>
      </c>
      <c r="J25" s="55">
        <v>720</v>
      </c>
      <c r="M25" s="2" t="s">
        <v>284</v>
      </c>
      <c r="N25" s="45">
        <v>1</v>
      </c>
      <c r="O25" s="45">
        <v>147</v>
      </c>
      <c r="R25" s="64" t="s">
        <v>332</v>
      </c>
      <c r="S25" s="65" t="s">
        <v>193</v>
      </c>
      <c r="T25" s="65" t="s">
        <v>179</v>
      </c>
    </row>
    <row r="26" spans="2:20" ht="15.5" x14ac:dyDescent="0.35">
      <c r="B26" s="11">
        <f>IF(Table12241019[[#Headers],[Nama Program]]="","",ROW(F22))</f>
        <v>22</v>
      </c>
      <c r="C26" s="54" t="s">
        <v>315</v>
      </c>
      <c r="D26" s="55">
        <v>3</v>
      </c>
      <c r="E26" s="55">
        <v>94</v>
      </c>
      <c r="G26"/>
      <c r="H26" s="46" t="s">
        <v>186</v>
      </c>
      <c r="I26" s="44">
        <f>SUM(I25:I25)</f>
        <v>4</v>
      </c>
      <c r="J26" s="44">
        <f>SUM(J25:J25)</f>
        <v>720</v>
      </c>
      <c r="M26" s="46" t="s">
        <v>186</v>
      </c>
      <c r="N26" s="44">
        <f>SUM(N24:N25)</f>
        <v>10</v>
      </c>
      <c r="O26" s="44">
        <f>SUM(O24:O25)</f>
        <v>748</v>
      </c>
      <c r="Q26" s="6"/>
      <c r="R26" s="54" t="s">
        <v>329</v>
      </c>
      <c r="S26" s="55">
        <v>3</v>
      </c>
      <c r="T26" s="55">
        <v>276</v>
      </c>
    </row>
    <row r="27" spans="2:20" ht="15.5" x14ac:dyDescent="0.35">
      <c r="B27" s="11">
        <f>IF(Table12241019[[#Headers],[Nama Program]]="","",ROW(F23))</f>
        <v>23</v>
      </c>
      <c r="C27" s="54" t="s">
        <v>374</v>
      </c>
      <c r="D27" s="55">
        <v>15</v>
      </c>
      <c r="E27" s="55">
        <v>689</v>
      </c>
      <c r="G27"/>
      <c r="H27"/>
      <c r="J27" s="7"/>
      <c r="N27" s="7"/>
      <c r="O27" s="7"/>
      <c r="R27" s="46" t="s">
        <v>186</v>
      </c>
      <c r="S27" s="44">
        <f>SUM(S26:S26)</f>
        <v>3</v>
      </c>
      <c r="T27" s="44">
        <f>SUM(T26:T26)</f>
        <v>276</v>
      </c>
    </row>
    <row r="28" spans="2:20" s="6" customFormat="1" x14ac:dyDescent="0.35">
      <c r="B28" s="11">
        <f>IF(Table12241019[[#Headers],[Nama Program]]="","",ROW(F24))</f>
        <v>24</v>
      </c>
      <c r="C28" s="54" t="s">
        <v>377</v>
      </c>
      <c r="D28" s="55">
        <v>1</v>
      </c>
      <c r="E28" s="55">
        <v>100</v>
      </c>
      <c r="H28" s="64" t="s">
        <v>333</v>
      </c>
      <c r="I28" s="65" t="s">
        <v>193</v>
      </c>
      <c r="J28" s="65" t="s">
        <v>179</v>
      </c>
      <c r="M28" s="64" t="s">
        <v>327</v>
      </c>
      <c r="N28" s="65" t="s">
        <v>193</v>
      </c>
      <c r="O28" s="65" t="s">
        <v>179</v>
      </c>
      <c r="Q28"/>
      <c r="R28"/>
      <c r="S28" s="7"/>
      <c r="T28" s="7"/>
    </row>
    <row r="29" spans="2:20" x14ac:dyDescent="0.35">
      <c r="B29" s="11">
        <f>IF(Table12241019[[#Headers],[Nama Program]]="","",ROW(F25))</f>
        <v>25</v>
      </c>
      <c r="C29" s="54" t="s">
        <v>335</v>
      </c>
      <c r="D29" s="55">
        <v>5</v>
      </c>
      <c r="E29" s="55">
        <v>549</v>
      </c>
      <c r="G29"/>
      <c r="H29" s="54" t="s">
        <v>334</v>
      </c>
      <c r="I29" s="55">
        <v>1</v>
      </c>
      <c r="J29" s="55">
        <v>30</v>
      </c>
      <c r="M29" s="54" t="s">
        <v>313</v>
      </c>
      <c r="N29" s="55">
        <v>1</v>
      </c>
      <c r="O29" s="55">
        <v>28</v>
      </c>
      <c r="R29" s="64" t="s">
        <v>333</v>
      </c>
      <c r="S29" s="65" t="s">
        <v>193</v>
      </c>
      <c r="T29" s="65" t="s">
        <v>179</v>
      </c>
    </row>
    <row r="30" spans="2:20" ht="15.5" x14ac:dyDescent="0.35">
      <c r="G30"/>
      <c r="H30" s="46" t="s">
        <v>186</v>
      </c>
      <c r="I30" s="44">
        <f>SUM(I29:I29)</f>
        <v>1</v>
      </c>
      <c r="J30" s="44">
        <f>SUM(J29:J29)</f>
        <v>30</v>
      </c>
      <c r="M30" s="2" t="s">
        <v>328</v>
      </c>
      <c r="N30" s="45">
        <v>6</v>
      </c>
      <c r="O30" s="45">
        <v>803</v>
      </c>
      <c r="R30" s="54" t="s">
        <v>250</v>
      </c>
      <c r="S30" s="55">
        <v>4</v>
      </c>
      <c r="T30" s="55">
        <v>261</v>
      </c>
    </row>
    <row r="31" spans="2:20" ht="15.5" x14ac:dyDescent="0.35">
      <c r="G31"/>
      <c r="H31"/>
      <c r="J31" s="7"/>
      <c r="M31" s="46" t="s">
        <v>186</v>
      </c>
      <c r="N31" s="44">
        <f>SUM(N29:N30)</f>
        <v>7</v>
      </c>
      <c r="O31" s="44">
        <f>SUM(O29:O30)</f>
        <v>831</v>
      </c>
      <c r="Q31" s="6"/>
      <c r="R31" s="54" t="s">
        <v>334</v>
      </c>
      <c r="S31" s="55">
        <v>1</v>
      </c>
      <c r="T31" s="55">
        <v>4</v>
      </c>
    </row>
    <row r="32" spans="2:20" s="6" customFormat="1" ht="21" x14ac:dyDescent="0.5">
      <c r="B32" s="107" t="s">
        <v>189</v>
      </c>
      <c r="C32" s="108"/>
      <c r="D32" s="47">
        <f>SUM(D5:D29)</f>
        <v>194</v>
      </c>
      <c r="E32" s="47">
        <f>SUM(E5:E29)</f>
        <v>35887</v>
      </c>
      <c r="H32"/>
      <c r="I32" s="7"/>
      <c r="J32" s="7"/>
      <c r="L32"/>
      <c r="M32"/>
      <c r="N32" s="7"/>
      <c r="O32" s="7"/>
      <c r="Q32"/>
      <c r="R32" s="46" t="s">
        <v>186</v>
      </c>
      <c r="S32" s="44">
        <f>SUM(S30:S31)</f>
        <v>5</v>
      </c>
      <c r="T32" s="44">
        <f>SUM(T30:T31)</f>
        <v>265</v>
      </c>
    </row>
    <row r="33" spans="2:20" ht="18.5" x14ac:dyDescent="0.45">
      <c r="G33"/>
      <c r="H33" s="30" t="s">
        <v>189</v>
      </c>
      <c r="I33" s="30">
        <f>+I18+I22+I26+I30</f>
        <v>12</v>
      </c>
      <c r="J33" s="30">
        <f>+J18+J22+J26+J30</f>
        <v>1980</v>
      </c>
      <c r="L33" s="6"/>
      <c r="M33" s="64" t="s">
        <v>332</v>
      </c>
      <c r="N33" s="65" t="s">
        <v>193</v>
      </c>
      <c r="O33" s="65" t="s">
        <v>179</v>
      </c>
    </row>
    <row r="34" spans="2:20" x14ac:dyDescent="0.35">
      <c r="G34"/>
      <c r="M34" s="54" t="s">
        <v>329</v>
      </c>
      <c r="N34" s="55">
        <v>2</v>
      </c>
      <c r="O34" s="55">
        <v>90</v>
      </c>
    </row>
    <row r="35" spans="2:20" ht="19" thickBot="1" x14ac:dyDescent="0.5">
      <c r="G35"/>
      <c r="M35" s="46" t="s">
        <v>186</v>
      </c>
      <c r="N35" s="44">
        <f>SUM(N34:N34)</f>
        <v>2</v>
      </c>
      <c r="O35" s="44">
        <f>SUM(O34:O34)</f>
        <v>90</v>
      </c>
      <c r="R35" s="30" t="s">
        <v>189</v>
      </c>
      <c r="S35" s="30">
        <f>+S19+S23+S27+S32</f>
        <v>11</v>
      </c>
      <c r="T35" s="30">
        <f>+T19+T23+T27+T32</f>
        <v>1611</v>
      </c>
    </row>
    <row r="36" spans="2:20" ht="21.5" thickBot="1" x14ac:dyDescent="0.55000000000000004">
      <c r="C36" s="109" t="s">
        <v>341</v>
      </c>
      <c r="D36" s="110"/>
      <c r="E36" s="111"/>
      <c r="G36"/>
      <c r="N36" s="7"/>
      <c r="O36" s="7"/>
    </row>
    <row r="37" spans="2:20" s="6" customFormat="1" x14ac:dyDescent="0.35">
      <c r="B37"/>
      <c r="C37"/>
      <c r="D37" s="7"/>
      <c r="E37" s="7"/>
      <c r="L37"/>
      <c r="M37" s="64" t="s">
        <v>333</v>
      </c>
      <c r="N37" s="65" t="s">
        <v>193</v>
      </c>
      <c r="O37" s="65" t="s">
        <v>179</v>
      </c>
      <c r="Q37"/>
      <c r="R37"/>
      <c r="S37"/>
      <c r="T37"/>
    </row>
    <row r="38" spans="2:20" x14ac:dyDescent="0.35">
      <c r="B38" s="6"/>
      <c r="C38" s="64" t="s">
        <v>325</v>
      </c>
      <c r="D38" s="65" t="s">
        <v>193</v>
      </c>
      <c r="E38" s="65" t="s">
        <v>179</v>
      </c>
      <c r="G38"/>
      <c r="M38" s="54" t="s">
        <v>335</v>
      </c>
      <c r="N38" s="55">
        <v>4</v>
      </c>
      <c r="O38" s="55">
        <v>225</v>
      </c>
    </row>
    <row r="39" spans="2:20" ht="15.5" x14ac:dyDescent="0.35">
      <c r="C39" s="42" t="s">
        <v>291</v>
      </c>
      <c r="D39" s="45">
        <v>2</v>
      </c>
      <c r="E39" s="45">
        <v>2400</v>
      </c>
      <c r="G39"/>
      <c r="M39" s="46" t="s">
        <v>186</v>
      </c>
      <c r="N39" s="44">
        <f>SUM(N38:N38)</f>
        <v>4</v>
      </c>
      <c r="O39" s="44">
        <f>SUM(O38:O38)</f>
        <v>225</v>
      </c>
      <c r="Q39" s="6"/>
    </row>
    <row r="40" spans="2:20" x14ac:dyDescent="0.35">
      <c r="C40" s="42" t="s">
        <v>382</v>
      </c>
      <c r="D40" s="45">
        <v>5</v>
      </c>
      <c r="E40" s="45">
        <v>2016</v>
      </c>
      <c r="G40"/>
    </row>
    <row r="41" spans="2:20" ht="15.5" x14ac:dyDescent="0.35">
      <c r="C41" s="46" t="s">
        <v>186</v>
      </c>
      <c r="D41" s="44">
        <f>SUM(D39:D40)</f>
        <v>7</v>
      </c>
      <c r="E41" s="44">
        <f>SUM(E39:E40)</f>
        <v>4416</v>
      </c>
      <c r="G41"/>
      <c r="L41" s="6"/>
    </row>
    <row r="42" spans="2:20" s="6" customFormat="1" ht="18.5" x14ac:dyDescent="0.45">
      <c r="C42"/>
      <c r="D42" s="7"/>
      <c r="E42" s="7"/>
      <c r="L42"/>
      <c r="M42" s="30" t="s">
        <v>189</v>
      </c>
      <c r="N42" s="30">
        <f>N21+N26+N31+N35+N39</f>
        <v>28</v>
      </c>
      <c r="O42" s="30">
        <f>O21+O26+O31+O35+O39</f>
        <v>7894</v>
      </c>
      <c r="Q42"/>
      <c r="R42"/>
      <c r="S42"/>
      <c r="T42"/>
    </row>
    <row r="43" spans="2:20" x14ac:dyDescent="0.35">
      <c r="C43" s="64" t="s">
        <v>326</v>
      </c>
      <c r="D43" s="65" t="s">
        <v>193</v>
      </c>
      <c r="E43" s="65" t="s">
        <v>179</v>
      </c>
      <c r="G43"/>
    </row>
    <row r="44" spans="2:20" x14ac:dyDescent="0.35">
      <c r="C44" s="54" t="s">
        <v>266</v>
      </c>
      <c r="D44" s="55">
        <v>12</v>
      </c>
      <c r="E44" s="55">
        <v>759</v>
      </c>
      <c r="G44"/>
    </row>
    <row r="45" spans="2:20" x14ac:dyDescent="0.35">
      <c r="C45" s="2" t="s">
        <v>284</v>
      </c>
      <c r="D45" s="45">
        <v>6</v>
      </c>
      <c r="E45" s="45">
        <v>465</v>
      </c>
      <c r="G45"/>
    </row>
    <row r="46" spans="2:20" ht="15.5" x14ac:dyDescent="0.35">
      <c r="C46" s="46" t="s">
        <v>186</v>
      </c>
      <c r="D46" s="44">
        <f>SUM(D44:D45)</f>
        <v>18</v>
      </c>
      <c r="E46" s="44">
        <f>SUM(E44:E45)</f>
        <v>1224</v>
      </c>
      <c r="G46"/>
    </row>
    <row r="47" spans="2:20" x14ac:dyDescent="0.35">
      <c r="B47" s="6"/>
      <c r="C47"/>
      <c r="G47"/>
    </row>
    <row r="48" spans="2:20" x14ac:dyDescent="0.35">
      <c r="C48" s="64" t="s">
        <v>327</v>
      </c>
      <c r="D48" s="65" t="s">
        <v>193</v>
      </c>
      <c r="E48" s="65" t="s">
        <v>179</v>
      </c>
      <c r="G48"/>
    </row>
    <row r="49" spans="2:20" x14ac:dyDescent="0.35">
      <c r="C49" s="54" t="s">
        <v>313</v>
      </c>
      <c r="D49" s="55">
        <v>16</v>
      </c>
      <c r="E49" s="55">
        <v>16615</v>
      </c>
      <c r="G49"/>
    </row>
    <row r="50" spans="2:20" s="6" customFormat="1" x14ac:dyDescent="0.35">
      <c r="B50"/>
      <c r="C50" s="2" t="s">
        <v>328</v>
      </c>
      <c r="D50" s="45">
        <v>21</v>
      </c>
      <c r="E50" s="45">
        <v>2938</v>
      </c>
      <c r="H50" s="7"/>
      <c r="I50" s="7"/>
      <c r="J50"/>
      <c r="L50"/>
      <c r="M50"/>
      <c r="N50"/>
      <c r="O50"/>
      <c r="Q50"/>
      <c r="R50"/>
      <c r="S50"/>
      <c r="T50"/>
    </row>
    <row r="51" spans="2:20" ht="15.5" x14ac:dyDescent="0.35">
      <c r="C51" s="46" t="s">
        <v>186</v>
      </c>
      <c r="D51" s="44">
        <f>SUM(D49:D50)</f>
        <v>37</v>
      </c>
      <c r="E51" s="44">
        <f>SUM(E49:E50)</f>
        <v>19553</v>
      </c>
      <c r="G51"/>
    </row>
    <row r="52" spans="2:20" x14ac:dyDescent="0.35">
      <c r="B52" s="6"/>
      <c r="C52"/>
      <c r="G52"/>
    </row>
    <row r="53" spans="2:20" x14ac:dyDescent="0.35">
      <c r="C53" s="64" t="s">
        <v>332</v>
      </c>
      <c r="D53" s="65" t="s">
        <v>193</v>
      </c>
      <c r="E53" s="65" t="s">
        <v>179</v>
      </c>
      <c r="G53"/>
    </row>
    <row r="54" spans="2:20" x14ac:dyDescent="0.35">
      <c r="C54" s="54" t="s">
        <v>324</v>
      </c>
      <c r="D54" s="55">
        <v>6</v>
      </c>
      <c r="E54" s="55">
        <v>261</v>
      </c>
      <c r="G54"/>
    </row>
    <row r="55" spans="2:20" x14ac:dyDescent="0.35">
      <c r="C55" s="54" t="s">
        <v>323</v>
      </c>
      <c r="D55" s="55">
        <v>1</v>
      </c>
      <c r="E55" s="55">
        <v>85</v>
      </c>
      <c r="G55"/>
    </row>
    <row r="56" spans="2:20" x14ac:dyDescent="0.35">
      <c r="C56" s="54" t="s">
        <v>331</v>
      </c>
      <c r="D56" s="55">
        <v>2</v>
      </c>
      <c r="E56" s="55">
        <v>133</v>
      </c>
      <c r="G56"/>
    </row>
    <row r="57" spans="2:20" x14ac:dyDescent="0.35">
      <c r="C57" s="54" t="s">
        <v>329</v>
      </c>
      <c r="D57" s="55">
        <v>20</v>
      </c>
      <c r="E57" s="55">
        <v>1286</v>
      </c>
      <c r="G57"/>
    </row>
    <row r="58" spans="2:20" x14ac:dyDescent="0.35">
      <c r="C58" s="2" t="s">
        <v>330</v>
      </c>
      <c r="D58" s="45">
        <v>8</v>
      </c>
      <c r="E58" s="45">
        <v>498</v>
      </c>
      <c r="G58"/>
    </row>
    <row r="59" spans="2:20" ht="15.5" x14ac:dyDescent="0.35">
      <c r="C59" s="46" t="s">
        <v>186</v>
      </c>
      <c r="D59" s="44">
        <f>SUM(D54:D58)</f>
        <v>37</v>
      </c>
      <c r="E59" s="44">
        <f>SUM(E54:E58)</f>
        <v>2263</v>
      </c>
      <c r="G59"/>
    </row>
    <row r="60" spans="2:20" x14ac:dyDescent="0.35">
      <c r="B60" s="6"/>
      <c r="C60"/>
    </row>
    <row r="61" spans="2:20" x14ac:dyDescent="0.35">
      <c r="C61" s="64" t="s">
        <v>333</v>
      </c>
      <c r="D61" s="65" t="s">
        <v>193</v>
      </c>
      <c r="E61" s="65" t="s">
        <v>179</v>
      </c>
    </row>
    <row r="62" spans="2:20" x14ac:dyDescent="0.35">
      <c r="C62" s="54" t="s">
        <v>383</v>
      </c>
      <c r="D62" s="55">
        <v>34</v>
      </c>
      <c r="E62" s="55">
        <v>2640</v>
      </c>
    </row>
    <row r="63" spans="2:20" x14ac:dyDescent="0.35">
      <c r="C63" s="54" t="s">
        <v>310</v>
      </c>
      <c r="D63" s="55">
        <v>7</v>
      </c>
      <c r="E63" s="55">
        <v>587</v>
      </c>
    </row>
    <row r="64" spans="2:20" x14ac:dyDescent="0.35">
      <c r="C64" s="54" t="s">
        <v>346</v>
      </c>
      <c r="D64" s="55">
        <v>1</v>
      </c>
      <c r="E64" s="55">
        <v>370</v>
      </c>
    </row>
    <row r="65" spans="3:5" x14ac:dyDescent="0.35">
      <c r="C65" s="54" t="s">
        <v>350</v>
      </c>
      <c r="D65" s="55">
        <v>2</v>
      </c>
      <c r="E65" s="55">
        <v>360</v>
      </c>
    </row>
    <row r="66" spans="3:5" x14ac:dyDescent="0.35">
      <c r="C66" s="54" t="s">
        <v>355</v>
      </c>
      <c r="D66" s="55">
        <v>4</v>
      </c>
      <c r="E66" s="55">
        <v>2000</v>
      </c>
    </row>
    <row r="67" spans="3:5" x14ac:dyDescent="0.35">
      <c r="C67" s="54" t="s">
        <v>361</v>
      </c>
      <c r="D67" s="55">
        <v>3</v>
      </c>
      <c r="E67" s="55">
        <v>122</v>
      </c>
    </row>
    <row r="68" spans="3:5" x14ac:dyDescent="0.35">
      <c r="C68" s="54" t="s">
        <v>250</v>
      </c>
      <c r="D68" s="55">
        <v>11</v>
      </c>
      <c r="E68" s="55">
        <v>449</v>
      </c>
    </row>
    <row r="69" spans="3:5" x14ac:dyDescent="0.35">
      <c r="C69" s="54" t="s">
        <v>360</v>
      </c>
      <c r="D69" s="55">
        <v>7</v>
      </c>
      <c r="E69" s="55">
        <v>271</v>
      </c>
    </row>
    <row r="70" spans="3:5" x14ac:dyDescent="0.35">
      <c r="C70" s="54" t="s">
        <v>370</v>
      </c>
      <c r="D70" s="55">
        <v>1</v>
      </c>
      <c r="E70" s="55">
        <v>100</v>
      </c>
    </row>
    <row r="71" spans="3:5" x14ac:dyDescent="0.35">
      <c r="C71" s="54" t="s">
        <v>381</v>
      </c>
      <c r="D71" s="55">
        <v>1</v>
      </c>
      <c r="E71" s="55">
        <v>100</v>
      </c>
    </row>
    <row r="72" spans="3:5" x14ac:dyDescent="0.35">
      <c r="C72" s="54" t="s">
        <v>315</v>
      </c>
      <c r="D72" s="55">
        <v>3</v>
      </c>
      <c r="E72" s="55">
        <v>94</v>
      </c>
    </row>
    <row r="73" spans="3:5" x14ac:dyDescent="0.35">
      <c r="C73" s="54" t="s">
        <v>374</v>
      </c>
      <c r="D73" s="55">
        <v>15</v>
      </c>
      <c r="E73" s="55">
        <v>689</v>
      </c>
    </row>
    <row r="74" spans="3:5" x14ac:dyDescent="0.35">
      <c r="C74" s="54" t="s">
        <v>377</v>
      </c>
      <c r="D74" s="55">
        <v>1</v>
      </c>
      <c r="E74" s="55">
        <v>100</v>
      </c>
    </row>
    <row r="75" spans="3:5" x14ac:dyDescent="0.35">
      <c r="C75" s="54" t="s">
        <v>335</v>
      </c>
      <c r="D75" s="55">
        <v>5</v>
      </c>
      <c r="E75" s="55">
        <v>549</v>
      </c>
    </row>
    <row r="76" spans="3:5" ht="15.5" x14ac:dyDescent="0.35">
      <c r="C76" s="46" t="s">
        <v>186</v>
      </c>
      <c r="D76" s="44">
        <f>SUM(D62:D75)</f>
        <v>95</v>
      </c>
      <c r="E76" s="44">
        <f>SUM(E62:E75)</f>
        <v>8431</v>
      </c>
    </row>
    <row r="77" spans="3:5" x14ac:dyDescent="0.35">
      <c r="C77"/>
    </row>
    <row r="78" spans="3:5" x14ac:dyDescent="0.35">
      <c r="C78"/>
    </row>
    <row r="79" spans="3:5" ht="18.5" x14ac:dyDescent="0.45">
      <c r="C79" s="30" t="s">
        <v>189</v>
      </c>
      <c r="D79" s="30">
        <f>D41+D46+D51+D59+D76</f>
        <v>194</v>
      </c>
      <c r="E79" s="30">
        <f>E41+E46+E51+E59+E76</f>
        <v>35887</v>
      </c>
    </row>
    <row r="1048507" spans="3:3" x14ac:dyDescent="0.35">
      <c r="C1048507" s="14" t="s">
        <v>194</v>
      </c>
    </row>
  </sheetData>
  <mergeCells count="12">
    <mergeCell ref="B32:C32"/>
    <mergeCell ref="C36:E36"/>
    <mergeCell ref="R15:T15"/>
    <mergeCell ref="L2:O2"/>
    <mergeCell ref="L13:M13"/>
    <mergeCell ref="M17:O17"/>
    <mergeCell ref="Q2:T2"/>
    <mergeCell ref="Q11:R11"/>
    <mergeCell ref="B2:E2"/>
    <mergeCell ref="G2:J2"/>
    <mergeCell ref="G10:H10"/>
    <mergeCell ref="H14:J14"/>
  </mergeCells>
  <pageMargins left="0.7" right="0.7" top="0.75" bottom="0.75" header="0.3" footer="0.3"/>
  <tableParts count="2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B0EAF-A99E-40C0-9F50-72FA849D9F9B}">
  <dimension ref="B1:S67"/>
  <sheetViews>
    <sheetView showGridLines="0" topLeftCell="B1" zoomScale="62" workbookViewId="0">
      <selection activeCell="J22" sqref="J22"/>
    </sheetView>
  </sheetViews>
  <sheetFormatPr defaultRowHeight="21" x14ac:dyDescent="0.5"/>
  <cols>
    <col min="2" max="2" width="7.08984375" style="7" bestFit="1" customWidth="1"/>
    <col min="3" max="3" width="20.90625" customWidth="1"/>
    <col min="4" max="4" width="19" bestFit="1" customWidth="1"/>
    <col min="5" max="5" width="15.453125" customWidth="1"/>
    <col min="6" max="6" width="25" bestFit="1" customWidth="1"/>
    <col min="7" max="7" width="10.81640625" bestFit="1" customWidth="1"/>
    <col min="8" max="8" width="24.7265625" style="1" bestFit="1" customWidth="1"/>
    <col min="10" max="10" width="8.7265625" style="61"/>
    <col min="12" max="13" width="18.26953125" bestFit="1" customWidth="1"/>
    <col min="16" max="16" width="33.54296875" bestFit="1" customWidth="1"/>
    <col min="17" max="17" width="33.08984375" bestFit="1" customWidth="1"/>
    <col min="18" max="18" width="9.90625" bestFit="1" customWidth="1"/>
    <col min="19" max="19" width="28.08984375" customWidth="1"/>
  </cols>
  <sheetData>
    <row r="1" spans="2:19" ht="21.5" thickBot="1" x14ac:dyDescent="0.55000000000000004"/>
    <row r="2" spans="2:19" ht="21.5" thickBot="1" x14ac:dyDescent="0.55000000000000004">
      <c r="B2" s="98" t="s">
        <v>195</v>
      </c>
      <c r="C2" s="99"/>
      <c r="D2" s="99"/>
      <c r="E2" s="99"/>
      <c r="F2" s="99"/>
      <c r="G2" s="99"/>
      <c r="H2" s="100"/>
      <c r="L2" s="109" t="s">
        <v>529</v>
      </c>
      <c r="M2" s="115"/>
      <c r="N2" s="116"/>
      <c r="P2" s="109" t="s">
        <v>536</v>
      </c>
      <c r="Q2" s="110"/>
      <c r="R2" s="110"/>
      <c r="S2" s="111"/>
    </row>
    <row r="3" spans="2:19" ht="21.5" thickBot="1" x14ac:dyDescent="0.55000000000000004"/>
    <row r="4" spans="2:19" ht="21.5" thickBot="1" x14ac:dyDescent="0.55000000000000004">
      <c r="B4" s="59" t="s">
        <v>28</v>
      </c>
      <c r="C4" s="39" t="s">
        <v>29</v>
      </c>
      <c r="D4" s="39" t="s">
        <v>30</v>
      </c>
      <c r="E4" s="39" t="s">
        <v>196</v>
      </c>
      <c r="F4" s="39" t="s">
        <v>31</v>
      </c>
      <c r="G4" s="39" t="s">
        <v>197</v>
      </c>
      <c r="H4" s="58" t="s">
        <v>198</v>
      </c>
      <c r="J4" s="63" t="s">
        <v>200</v>
      </c>
      <c r="L4" s="2" t="s">
        <v>523</v>
      </c>
      <c r="M4" s="2" t="s">
        <v>524</v>
      </c>
      <c r="N4" s="2" t="s">
        <v>525</v>
      </c>
      <c r="P4" s="45" t="s">
        <v>177</v>
      </c>
      <c r="Q4" s="45" t="s">
        <v>530</v>
      </c>
      <c r="R4" s="45" t="s">
        <v>179</v>
      </c>
      <c r="S4" s="45" t="s">
        <v>531</v>
      </c>
    </row>
    <row r="5" spans="2:19" ht="21.5" thickBot="1" x14ac:dyDescent="0.55000000000000004">
      <c r="B5" s="45">
        <f>IF(Table11[[#This Row],[Kelurahan]]="","",ROW(I1))</f>
        <v>1</v>
      </c>
      <c r="C5" s="53" t="s">
        <v>99</v>
      </c>
      <c r="D5" s="53" t="str">
        <f>INDEX(Table2[Kecamatan],MATCH(Table11[[#This Row],[Kelurahan]],Table2[Kelurahan],0))</f>
        <v>Kertapati</v>
      </c>
      <c r="E5" s="53" t="str">
        <f>INDEX(Table2[Kabupaten/Kota],MATCH(Table11[[#This Row],[Kecamatan]],Table2[Kecamatan],0))</f>
        <v>Palembang</v>
      </c>
      <c r="F5" s="53" t="str">
        <f>INDEX(Table2[Provinsi],MATCH(Table11[[#This Row],[Kab/Kota]],Table2[Kabupaten/Kota],0))</f>
        <v>Sumatera Selatan</v>
      </c>
      <c r="G5" s="2" t="s">
        <v>199</v>
      </c>
      <c r="H5" s="60">
        <v>12</v>
      </c>
      <c r="J5" s="63">
        <f>SUM(Table11[Kuantitas program])</f>
        <v>63</v>
      </c>
      <c r="L5" s="2" t="s">
        <v>77</v>
      </c>
      <c r="M5" s="2" t="str" cm="1">
        <f t="array" ref="M5:M28">_xlfn.UNIQUE(L5:L67)</f>
        <v>10 Ilir</v>
      </c>
      <c r="N5" s="2" cm="1">
        <f t="array" ref="N5:N28">COUNTIF($L$5:$L$67,_xlfn.ANCHORARRAY(M5))</f>
        <v>1</v>
      </c>
      <c r="P5" s="2" t="s">
        <v>384</v>
      </c>
      <c r="Q5" s="2" t="s">
        <v>451</v>
      </c>
      <c r="R5" s="2">
        <v>200</v>
      </c>
      <c r="S5" s="2" t="s">
        <v>220</v>
      </c>
    </row>
    <row r="6" spans="2:19" x14ac:dyDescent="0.5">
      <c r="B6" s="45">
        <f>IF(Table11[[#This Row],[Kelurahan]]="","",ROW(I2))</f>
        <v>2</v>
      </c>
      <c r="C6" s="53" t="s">
        <v>47</v>
      </c>
      <c r="D6" s="53" t="str">
        <f>INDEX(Table2[Kecamatan],MATCH(Table11[[#This Row],[Kelurahan]],Table2[Kelurahan],0))</f>
        <v>Ilir Barat I</v>
      </c>
      <c r="E6" s="53" t="str">
        <f>INDEX(Table2[Kabupaten/Kota],MATCH(Table11[[#This Row],[Kecamatan]],Table2[Kecamatan],0))</f>
        <v>Palembang</v>
      </c>
      <c r="F6" s="53" t="str">
        <f>INDEX(Table2[Provinsi],MATCH(Table11[[#This Row],[Kab/Kota]],Table2[Kabupaten/Kota],0))</f>
        <v>Sumatera Selatan</v>
      </c>
      <c r="G6" s="2" t="s">
        <v>199</v>
      </c>
      <c r="H6" s="60">
        <v>7</v>
      </c>
      <c r="L6" s="2" t="s">
        <v>83</v>
      </c>
      <c r="M6" s="2" t="str">
        <v>15 Ulu</v>
      </c>
      <c r="N6" s="2">
        <v>1</v>
      </c>
      <c r="P6" s="2" t="s">
        <v>388</v>
      </c>
      <c r="Q6" s="2" t="s">
        <v>415</v>
      </c>
      <c r="R6" s="2">
        <v>100</v>
      </c>
      <c r="S6" s="2" t="s">
        <v>206</v>
      </c>
    </row>
    <row r="7" spans="2:19" x14ac:dyDescent="0.5">
      <c r="B7" s="45">
        <f>IF(Table11[[#This Row],[Kelurahan]]="","",ROW(I3))</f>
        <v>3</v>
      </c>
      <c r="C7" s="53" t="s">
        <v>82</v>
      </c>
      <c r="D7" s="53" t="str">
        <f>INDEX(Table2[Kecamatan],MATCH(Table11[[#This Row],[Kelurahan]],Table2[Kelurahan],0))</f>
        <v>Jakabaring</v>
      </c>
      <c r="E7" s="53" t="str">
        <f>INDEX(Table2[Kabupaten/Kota],MATCH(Table11[[#This Row],[Kecamatan]],Table2[Kecamatan],0))</f>
        <v>Palembang</v>
      </c>
      <c r="F7" s="53" t="str">
        <f>INDEX(Table2[Provinsi],MATCH(Table11[[#This Row],[Kab/Kota]],Table2[Kabupaten/Kota],0))</f>
        <v>Sumatera Selatan</v>
      </c>
      <c r="G7" s="2" t="s">
        <v>199</v>
      </c>
      <c r="H7" s="60">
        <v>4</v>
      </c>
      <c r="L7" s="2" t="s">
        <v>224</v>
      </c>
      <c r="M7" s="2" t="str">
        <v>20 Ilir D-II</v>
      </c>
      <c r="N7" s="2">
        <v>2</v>
      </c>
      <c r="P7" s="2" t="s">
        <v>2</v>
      </c>
      <c r="Q7" s="2" t="s">
        <v>413</v>
      </c>
      <c r="R7" s="2">
        <v>37</v>
      </c>
      <c r="S7" s="2" t="s">
        <v>206</v>
      </c>
    </row>
    <row r="8" spans="2:19" x14ac:dyDescent="0.5">
      <c r="B8" s="45">
        <f>IF(Table11[[#This Row],[Kelurahan]]="","",ROW(I4))</f>
        <v>4</v>
      </c>
      <c r="C8" s="53" t="s">
        <v>91</v>
      </c>
      <c r="D8" s="53" t="str">
        <f>INDEX(Table2[Kecamatan],MATCH(Table11[[#This Row],[Kelurahan]],Table2[Kelurahan],0))</f>
        <v>Kemuning</v>
      </c>
      <c r="E8" s="53" t="str">
        <f>INDEX(Table2[Kabupaten/Kota],MATCH(Table11[[#This Row],[Kecamatan]],Table2[Kecamatan],0))</f>
        <v>Palembang</v>
      </c>
      <c r="F8" s="53" t="str">
        <f>INDEX(Table2[Provinsi],MATCH(Table11[[#This Row],[Kab/Kota]],Table2[Kabupaten/Kota],0))</f>
        <v>Sumatera Selatan</v>
      </c>
      <c r="G8" s="2" t="s">
        <v>199</v>
      </c>
      <c r="H8" s="60">
        <v>4</v>
      </c>
      <c r="L8" s="2" t="s">
        <v>224</v>
      </c>
      <c r="M8" s="2" t="str">
        <v>8 Ilir</v>
      </c>
      <c r="N8" s="2">
        <v>2</v>
      </c>
      <c r="P8" s="2" t="s">
        <v>388</v>
      </c>
      <c r="Q8" s="2" t="s">
        <v>423</v>
      </c>
      <c r="R8" s="2">
        <v>125</v>
      </c>
      <c r="S8" s="2" t="s">
        <v>206</v>
      </c>
    </row>
    <row r="9" spans="2:19" x14ac:dyDescent="0.5">
      <c r="B9" s="45">
        <f>IF(Table11[[#This Row],[Kelurahan]]="","",ROW(I5))</f>
        <v>5</v>
      </c>
      <c r="C9" s="53" t="s">
        <v>312</v>
      </c>
      <c r="D9" s="53" t="str">
        <f>INDEX(Table2[Kecamatan],MATCH(Table11[[#This Row],[Kelurahan]],Table2[Kelurahan],0))</f>
        <v>Rantau</v>
      </c>
      <c r="E9" s="53" t="str">
        <f>INDEX(Table2[Kabupaten/Kota],MATCH(Table11[[#This Row],[Kecamatan]],Table2[Kecamatan],0))</f>
        <v>Aceh Tamiang</v>
      </c>
      <c r="F9" s="53" t="str">
        <f>INDEX(Table2[Provinsi],MATCH(Table11[[#This Row],[Kab/Kota]],Table2[Kabupaten/Kota],0))</f>
        <v>Nangroe Aceh Darussalam</v>
      </c>
      <c r="G9" s="2" t="s">
        <v>199</v>
      </c>
      <c r="H9" s="60">
        <v>3</v>
      </c>
      <c r="L9" s="2" t="s">
        <v>75</v>
      </c>
      <c r="M9" s="2" t="str">
        <v>9/10 Ulu</v>
      </c>
      <c r="N9" s="2">
        <v>4</v>
      </c>
      <c r="P9" s="2" t="s">
        <v>388</v>
      </c>
      <c r="Q9" s="2" t="s">
        <v>492</v>
      </c>
      <c r="R9" s="2">
        <v>100</v>
      </c>
      <c r="S9" s="2" t="s">
        <v>239</v>
      </c>
    </row>
    <row r="10" spans="2:19" x14ac:dyDescent="0.5">
      <c r="B10" s="45">
        <f>IF(Table11[[#This Row],[Kelurahan]]="","",ROW(I6))</f>
        <v>6</v>
      </c>
      <c r="C10" s="53" t="s">
        <v>96</v>
      </c>
      <c r="D10" s="53" t="str">
        <f>INDEX(Table2[Kecamatan],MATCH(Table11[[#This Row],[Kelurahan]],Table2[Kelurahan],0))</f>
        <v>Kertapati</v>
      </c>
      <c r="E10" s="53" t="str">
        <f>INDEX(Table2[Kabupaten/Kota],MATCH(Table11[[#This Row],[Kecamatan]],Table2[Kecamatan],0))</f>
        <v>Palembang</v>
      </c>
      <c r="F10" s="53" t="str">
        <f>INDEX(Table2[Provinsi],MATCH(Table11[[#This Row],[Kab/Kota]],Table2[Kabupaten/Kota],0))</f>
        <v>Sumatera Selatan</v>
      </c>
      <c r="G10" s="2" t="s">
        <v>199</v>
      </c>
      <c r="H10" s="60">
        <v>3</v>
      </c>
      <c r="L10" s="2" t="s">
        <v>75</v>
      </c>
      <c r="M10" s="2" t="str">
        <v>Ario Kemuning</v>
      </c>
      <c r="N10" s="2">
        <v>4</v>
      </c>
      <c r="P10" s="2" t="s">
        <v>387</v>
      </c>
      <c r="Q10" s="2" t="s">
        <v>532</v>
      </c>
      <c r="R10" s="2">
        <v>50</v>
      </c>
      <c r="S10" s="2" t="s">
        <v>212</v>
      </c>
    </row>
    <row r="11" spans="2:19" x14ac:dyDescent="0.5">
      <c r="B11" s="45">
        <f>IF(Table11[[#This Row],[Kelurahan]]="","",ROW(I7))</f>
        <v>7</v>
      </c>
      <c r="C11" s="53" t="s">
        <v>49</v>
      </c>
      <c r="D11" s="53" t="str">
        <f>INDEX(Table2[Kecamatan],MATCH(Table11[[#This Row],[Kelurahan]],Table2[Kelurahan],0))</f>
        <v>Ilir Barat I</v>
      </c>
      <c r="E11" s="53" t="str">
        <f>INDEX(Table2[Kabupaten/Kota],MATCH(Table11[[#This Row],[Kecamatan]],Table2[Kecamatan],0))</f>
        <v>Palembang</v>
      </c>
      <c r="F11" s="53" t="str">
        <f>INDEX(Table2[Provinsi],MATCH(Table11[[#This Row],[Kab/Kota]],Table2[Kabupaten/Kota],0))</f>
        <v>Sumatera Selatan</v>
      </c>
      <c r="G11" s="2" t="s">
        <v>199</v>
      </c>
      <c r="H11" s="60">
        <v>3</v>
      </c>
      <c r="L11" s="2" t="s">
        <v>82</v>
      </c>
      <c r="M11" s="2" t="str">
        <v>Balai</v>
      </c>
      <c r="N11" s="2">
        <v>2</v>
      </c>
      <c r="P11" s="2" t="s">
        <v>387</v>
      </c>
      <c r="Q11" s="2" t="s">
        <v>533</v>
      </c>
      <c r="R11" s="2">
        <v>50</v>
      </c>
      <c r="S11" s="2" t="s">
        <v>212</v>
      </c>
    </row>
    <row r="12" spans="2:19" x14ac:dyDescent="0.5">
      <c r="B12" s="45">
        <f>IF(Table11[[#This Row],[Kelurahan]]="","",ROW(I8))</f>
        <v>8</v>
      </c>
      <c r="C12" s="53" t="s">
        <v>224</v>
      </c>
      <c r="D12" s="53" t="str">
        <f>INDEX(Table2[Kecamatan],MATCH(Table11[[#This Row],[Kelurahan]],Table2[Kelurahan],0))</f>
        <v>Kemuning</v>
      </c>
      <c r="E12" s="53" t="str">
        <f>INDEX(Table2[Kabupaten/Kota],MATCH(Table11[[#This Row],[Kecamatan]],Table2[Kecamatan],0))</f>
        <v>Palembang</v>
      </c>
      <c r="F12" s="53" t="str">
        <f>INDEX(Table2[Provinsi],MATCH(Table11[[#This Row],[Kab/Kota]],Table2[Kabupaten/Kota],0))</f>
        <v>Sumatera Selatan</v>
      </c>
      <c r="G12" s="2" t="s">
        <v>199</v>
      </c>
      <c r="H12" s="60">
        <v>2</v>
      </c>
      <c r="L12" s="2" t="s">
        <v>82</v>
      </c>
      <c r="M12" s="2" t="str">
        <v>Bukit Lama</v>
      </c>
      <c r="N12" s="2">
        <v>7</v>
      </c>
      <c r="P12" s="2" t="s">
        <v>389</v>
      </c>
      <c r="Q12" s="2" t="s">
        <v>403</v>
      </c>
      <c r="R12" s="2">
        <v>250</v>
      </c>
      <c r="S12" s="2" t="s">
        <v>212</v>
      </c>
    </row>
    <row r="13" spans="2:19" x14ac:dyDescent="0.5">
      <c r="B13" s="45">
        <f>IF(Table11[[#This Row],[Kelurahan]]="","",ROW(I9))</f>
        <v>9</v>
      </c>
      <c r="C13" s="53" t="s">
        <v>75</v>
      </c>
      <c r="D13" s="53" t="str">
        <f>INDEX(Table2[Kecamatan],MATCH(Table11[[#This Row],[Kelurahan]],Table2[Kelurahan],0))</f>
        <v>Ilir Timur III</v>
      </c>
      <c r="E13" s="53" t="str">
        <f>INDEX(Table2[Kabupaten/Kota],MATCH(Table11[[#This Row],[Kecamatan]],Table2[Kecamatan],0))</f>
        <v>Palembang</v>
      </c>
      <c r="F13" s="53" t="str">
        <f>INDEX(Table2[Provinsi],MATCH(Table11[[#This Row],[Kab/Kota]],Table2[Kabupaten/Kota],0))</f>
        <v>Sumatera Selatan</v>
      </c>
      <c r="G13" s="2" t="s">
        <v>199</v>
      </c>
      <c r="H13" s="60">
        <v>2</v>
      </c>
      <c r="L13" s="2" t="s">
        <v>82</v>
      </c>
      <c r="M13" s="2" t="str">
        <v>Demang Lebar Daun</v>
      </c>
      <c r="N13" s="2">
        <v>2</v>
      </c>
      <c r="P13" s="2" t="s">
        <v>498</v>
      </c>
      <c r="Q13" s="2" t="s">
        <v>534</v>
      </c>
      <c r="R13" s="2">
        <v>50</v>
      </c>
      <c r="S13" s="2" t="s">
        <v>211</v>
      </c>
    </row>
    <row r="14" spans="2:19" x14ac:dyDescent="0.5">
      <c r="B14" s="45">
        <f>IF(Table11[[#This Row],[Kelurahan]]="","",ROW(I10))</f>
        <v>10</v>
      </c>
      <c r="C14" s="53" t="s">
        <v>296</v>
      </c>
      <c r="D14" s="53" t="str">
        <f>INDEX(Table2[Kecamatan],MATCH(Table11[[#This Row],[Kelurahan]],Table2[Kelurahan],0))</f>
        <v>Bendahara</v>
      </c>
      <c r="E14" s="53" t="str">
        <f>INDEX(Table2[Kabupaten/Kota],MATCH(Table11[[#This Row],[Kecamatan]],Table2[Kecamatan],0))</f>
        <v>Aceh Tamiang</v>
      </c>
      <c r="F14" s="53" t="str">
        <f>INDEX(Table2[Provinsi],MATCH(Table11[[#This Row],[Kab/Kota]],Table2[Kabupaten/Kota],0))</f>
        <v>Nangroe Aceh Darussalam</v>
      </c>
      <c r="G14" s="2" t="s">
        <v>199</v>
      </c>
      <c r="H14" s="60">
        <v>2</v>
      </c>
      <c r="L14" s="2" t="s">
        <v>82</v>
      </c>
      <c r="M14" s="2" t="str">
        <v>Durian</v>
      </c>
      <c r="N14" s="2">
        <v>3</v>
      </c>
      <c r="P14" s="2" t="s">
        <v>388</v>
      </c>
      <c r="Q14" s="2" t="s">
        <v>437</v>
      </c>
      <c r="R14" s="2">
        <v>150</v>
      </c>
      <c r="S14" s="2" t="s">
        <v>208</v>
      </c>
    </row>
    <row r="15" spans="2:19" x14ac:dyDescent="0.5">
      <c r="B15" s="45">
        <f>IF(Table11[[#This Row],[Kelurahan]]="","",ROW(I11))</f>
        <v>11</v>
      </c>
      <c r="C15" s="53" t="s">
        <v>48</v>
      </c>
      <c r="D15" s="53" t="str">
        <f>INDEX(Table2[Kecamatan],MATCH(Table11[[#This Row],[Kelurahan]],Table2[Kelurahan],0))</f>
        <v>Ilir Barat I</v>
      </c>
      <c r="E15" s="53" t="str">
        <f>INDEX(Table2[Kabupaten/Kota],MATCH(Table11[[#This Row],[Kecamatan]],Table2[Kecamatan],0))</f>
        <v>Palembang</v>
      </c>
      <c r="F15" s="53" t="str">
        <f>INDEX(Table2[Provinsi],MATCH(Table11[[#This Row],[Kab/Kota]],Table2[Kabupaten/Kota],0))</f>
        <v>Sumatera Selatan</v>
      </c>
      <c r="G15" s="2" t="s">
        <v>199</v>
      </c>
      <c r="H15" s="60">
        <v>2</v>
      </c>
      <c r="L15" s="2" t="s">
        <v>91</v>
      </c>
      <c r="M15" s="2" t="str">
        <v>Gandus</v>
      </c>
      <c r="N15" s="2">
        <v>1</v>
      </c>
      <c r="P15" s="2" t="s">
        <v>388</v>
      </c>
      <c r="Q15" s="2" t="s">
        <v>535</v>
      </c>
      <c r="R15" s="2">
        <v>135</v>
      </c>
      <c r="S15" s="2" t="s">
        <v>212</v>
      </c>
    </row>
    <row r="16" spans="2:19" x14ac:dyDescent="0.5">
      <c r="B16" s="45">
        <f>IF(Table11[[#This Row],[Kelurahan]]="","",ROW(I12))</f>
        <v>12</v>
      </c>
      <c r="C16" s="53" t="s">
        <v>314</v>
      </c>
      <c r="D16" s="53" t="str">
        <f>INDEX(Table2[Kecamatan],MATCH(Table11[[#This Row],[Kelurahan]],Table2[Kelurahan],0))</f>
        <v>Rantau</v>
      </c>
      <c r="E16" s="53" t="str">
        <f>INDEX(Table2[Kabupaten/Kota],MATCH(Table11[[#This Row],[Kecamatan]],Table2[Kecamatan],0))</f>
        <v>Aceh Tamiang</v>
      </c>
      <c r="F16" s="53" t="str">
        <f>INDEX(Table2[Provinsi],MATCH(Table11[[#This Row],[Kab/Kota]],Table2[Kabupaten/Kota],0))</f>
        <v>Nangroe Aceh Darussalam</v>
      </c>
      <c r="G16" s="2" t="s">
        <v>199</v>
      </c>
      <c r="H16" s="60">
        <v>2</v>
      </c>
      <c r="L16" s="2" t="s">
        <v>91</v>
      </c>
      <c r="M16" s="2" t="str">
        <v>Indralaya Indah</v>
      </c>
      <c r="N16" s="2">
        <v>1</v>
      </c>
      <c r="P16" s="2" t="s">
        <v>384</v>
      </c>
      <c r="Q16" s="2" t="s">
        <v>400</v>
      </c>
      <c r="R16" s="2">
        <v>300</v>
      </c>
      <c r="S16" s="2" t="s">
        <v>220</v>
      </c>
    </row>
    <row r="17" spans="2:19" x14ac:dyDescent="0.5">
      <c r="B17" s="45">
        <f>IF(Table11[[#This Row],[Kelurahan]]="","",ROW(I13))</f>
        <v>13</v>
      </c>
      <c r="C17" s="53" t="s">
        <v>105</v>
      </c>
      <c r="D17" s="53" t="str">
        <f>INDEX(Table2[Kecamatan],MATCH(Table11[[#This Row],[Kelurahan]],Table2[Kelurahan],0))</f>
        <v>Plaju</v>
      </c>
      <c r="E17" s="53" t="str">
        <f>INDEX(Table2[Kabupaten/Kota],MATCH(Table11[[#This Row],[Kecamatan]],Table2[Kecamatan],0))</f>
        <v>Palembang</v>
      </c>
      <c r="F17" s="53" t="str">
        <f>INDEX(Table2[Provinsi],MATCH(Table11[[#This Row],[Kab/Kota]],Table2[Kabupaten/Kota],0))</f>
        <v>Sumatera Selatan</v>
      </c>
      <c r="G17" s="2" t="s">
        <v>199</v>
      </c>
      <c r="H17" s="60">
        <v>2</v>
      </c>
      <c r="L17" s="2" t="s">
        <v>91</v>
      </c>
      <c r="M17" s="2" t="str">
        <v>Karya Jaya</v>
      </c>
      <c r="N17" s="2">
        <v>3</v>
      </c>
      <c r="P17" s="2" t="s">
        <v>390</v>
      </c>
      <c r="Q17" s="2" t="s">
        <v>466</v>
      </c>
      <c r="R17" s="2">
        <v>150</v>
      </c>
      <c r="S17" s="2" t="s">
        <v>216</v>
      </c>
    </row>
    <row r="18" spans="2:19" x14ac:dyDescent="0.5">
      <c r="B18" s="45">
        <f>IF(Table11[[#This Row],[Kelurahan]]="","",ROW(I14))</f>
        <v>14</v>
      </c>
      <c r="C18" s="53" t="s">
        <v>391</v>
      </c>
      <c r="D18" s="53" t="str">
        <f>INDEX(Table2[Kecamatan],MATCH(Table11[[#This Row],[Kelurahan]],Table2[Kelurahan],0))</f>
        <v>Indralaya</v>
      </c>
      <c r="E18" s="53" t="str">
        <f>INDEX(Table2[Kabupaten/Kota],MATCH(Table11[[#This Row],[Kecamatan]],Table2[Kecamatan],0))</f>
        <v>Ogan Ilir</v>
      </c>
      <c r="F18" s="53" t="str">
        <f>INDEX(Table2[Provinsi],MATCH(Table11[[#This Row],[Kab/Kota]],Table2[Kabupaten/Kota],0))</f>
        <v>Sumatera Selatan</v>
      </c>
      <c r="G18" s="2" t="s">
        <v>199</v>
      </c>
      <c r="H18" s="60">
        <v>2</v>
      </c>
      <c r="L18" s="2" t="s">
        <v>91</v>
      </c>
      <c r="M18" s="2" t="str">
        <v>Kebun Bunga</v>
      </c>
      <c r="N18" s="2">
        <v>1</v>
      </c>
      <c r="P18" s="2" t="s">
        <v>390</v>
      </c>
      <c r="Q18" s="2" t="s">
        <v>445</v>
      </c>
      <c r="R18" s="2">
        <v>150</v>
      </c>
      <c r="S18" s="2" t="s">
        <v>216</v>
      </c>
    </row>
    <row r="19" spans="2:19" x14ac:dyDescent="0.5">
      <c r="B19" s="45">
        <f>IF(Table11[[#This Row],[Kelurahan]]="","",ROW(I15))</f>
        <v>15</v>
      </c>
      <c r="C19" s="53" t="s">
        <v>135</v>
      </c>
      <c r="D19" s="53" t="str">
        <f>INDEX(Table2[Kecamatan],MATCH(Table11[[#This Row],[Kelurahan]],Table2[Kelurahan],0))</f>
        <v>Sukarami</v>
      </c>
      <c r="E19" s="53" t="str">
        <f>INDEX(Table2[Kabupaten/Kota],MATCH(Table11[[#This Row],[Kecamatan]],Table2[Kecamatan],0))</f>
        <v>Palembang</v>
      </c>
      <c r="F19" s="53" t="str">
        <f>INDEX(Table2[Provinsi],MATCH(Table11[[#This Row],[Kab/Kota]],Table2[Kabupaten/Kota],0))</f>
        <v>Sumatera Selatan</v>
      </c>
      <c r="G19" s="2" t="s">
        <v>199</v>
      </c>
      <c r="H19" s="60">
        <v>2</v>
      </c>
      <c r="L19" s="2" t="s">
        <v>296</v>
      </c>
      <c r="M19" s="2" t="str">
        <v>Kemas Rindo</v>
      </c>
      <c r="N19" s="2">
        <v>1</v>
      </c>
      <c r="P19" s="2" t="s">
        <v>389</v>
      </c>
      <c r="Q19" s="2" t="s">
        <v>407</v>
      </c>
      <c r="R19" s="2">
        <v>100</v>
      </c>
      <c r="S19" s="2" t="s">
        <v>212</v>
      </c>
    </row>
    <row r="20" spans="2:19" x14ac:dyDescent="0.5">
      <c r="B20" s="45">
        <f>IF(Table11[[#This Row],[Kelurahan]]="","",ROW(I16))</f>
        <v>16</v>
      </c>
      <c r="C20" s="53" t="s">
        <v>299</v>
      </c>
      <c r="D20" s="53" t="str">
        <f>INDEX(Table2[Kecamatan],MATCH(Table11[[#This Row],[Kelurahan]],Table2[Kelurahan],0))</f>
        <v>Kejuruan Muda</v>
      </c>
      <c r="E20" s="53" t="str">
        <f>INDEX(Table2[Kabupaten/Kota],MATCH(Table11[[#This Row],[Kecamatan]],Table2[Kecamatan],0))</f>
        <v>Aceh Tamiang</v>
      </c>
      <c r="F20" s="53" t="str">
        <f>INDEX(Table2[Provinsi],MATCH(Table11[[#This Row],[Kab/Kota]],Table2[Kabupaten/Kota],0))</f>
        <v>Nangroe Aceh Darussalam</v>
      </c>
      <c r="G20" s="2" t="s">
        <v>199</v>
      </c>
      <c r="H20" s="60">
        <v>2</v>
      </c>
      <c r="L20" s="2" t="s">
        <v>296</v>
      </c>
      <c r="M20" s="2" t="str">
        <v>Keramasan</v>
      </c>
      <c r="N20" s="2">
        <v>12</v>
      </c>
      <c r="P20" s="2" t="s">
        <v>240</v>
      </c>
      <c r="Q20" s="2" t="s">
        <v>462</v>
      </c>
      <c r="R20" s="2">
        <v>1000</v>
      </c>
      <c r="S20" s="2" t="s">
        <v>220</v>
      </c>
    </row>
    <row r="21" spans="2:19" x14ac:dyDescent="0.5">
      <c r="B21" s="45">
        <f>IF(Table11[[#This Row],[Kelurahan]]="","",ROW(I17))</f>
        <v>17</v>
      </c>
      <c r="C21" s="53" t="s">
        <v>244</v>
      </c>
      <c r="D21" s="53" t="str">
        <f>INDEX(Table2[Kecamatan],MATCH(Table11[[#This Row],[Kelurahan]],Table2[Kelurahan],0))</f>
        <v>Indralaya Utara</v>
      </c>
      <c r="E21" s="53" t="str">
        <f>INDEX(Table2[Kabupaten/Kota],MATCH(Table11[[#This Row],[Kecamatan]],Table2[Kecamatan],0))</f>
        <v>Ogan Ilir</v>
      </c>
      <c r="F21" s="53" t="str">
        <f>INDEX(Table2[Provinsi],MATCH(Table11[[#This Row],[Kab/Kota]],Table2[Kabupaten/Kota],0))</f>
        <v>Sumatera Selatan</v>
      </c>
      <c r="G21" s="2" t="s">
        <v>199</v>
      </c>
      <c r="H21" s="60">
        <v>2</v>
      </c>
      <c r="L21" s="2" t="s">
        <v>47</v>
      </c>
      <c r="M21" s="2" t="str">
        <v>Lorok Pakjo</v>
      </c>
      <c r="N21" s="2">
        <v>3</v>
      </c>
      <c r="P21" s="2" t="s">
        <v>388</v>
      </c>
      <c r="Q21" s="2" t="s">
        <v>469</v>
      </c>
      <c r="R21" s="2">
        <v>100</v>
      </c>
      <c r="S21" s="2" t="s">
        <v>212</v>
      </c>
    </row>
    <row r="22" spans="2:19" x14ac:dyDescent="0.5">
      <c r="B22" s="45">
        <f>IF(Table11[[#This Row],[Kelurahan]]="","",ROW(I18))</f>
        <v>18</v>
      </c>
      <c r="C22" s="53" t="s">
        <v>77</v>
      </c>
      <c r="D22" s="53" t="str">
        <f>INDEX(Table2[Kecamatan],MATCH(Table11[[#This Row],[Kelurahan]],Table2[Kelurahan],0))</f>
        <v>Ilir Timur III</v>
      </c>
      <c r="E22" s="53" t="str">
        <f>INDEX(Table2[Kabupaten/Kota],MATCH(Table11[[#This Row],[Kecamatan]],Table2[Kecamatan],0))</f>
        <v>Palembang</v>
      </c>
      <c r="F22" s="53" t="str">
        <f>INDEX(Table2[Provinsi],MATCH(Table11[[#This Row],[Kab/Kota]],Table2[Kabupaten/Kota],0))</f>
        <v>Sumatera Selatan</v>
      </c>
      <c r="G22" s="2" t="s">
        <v>199</v>
      </c>
      <c r="H22" s="60">
        <v>1</v>
      </c>
      <c r="L22" s="2" t="s">
        <v>47</v>
      </c>
      <c r="M22" s="2" t="str">
        <v>Mekarjaya</v>
      </c>
      <c r="N22" s="2">
        <v>2</v>
      </c>
      <c r="P22" s="2" t="s">
        <v>475</v>
      </c>
      <c r="Q22" s="2" t="s">
        <v>477</v>
      </c>
      <c r="R22" s="2">
        <v>182</v>
      </c>
      <c r="S22" s="2" t="s">
        <v>207</v>
      </c>
    </row>
    <row r="23" spans="2:19" x14ac:dyDescent="0.5">
      <c r="B23" s="45">
        <f>IF(Table11[[#This Row],[Kelurahan]]="","",ROW(I19))</f>
        <v>19</v>
      </c>
      <c r="C23" s="53" t="s">
        <v>83</v>
      </c>
      <c r="D23" s="53" t="str">
        <f>INDEX(Table2[Kecamatan],MATCH(Table11[[#This Row],[Kelurahan]],Table2[Kelurahan],0))</f>
        <v>Jakabaring</v>
      </c>
      <c r="E23" s="53" t="str">
        <f>INDEX(Table2[Kabupaten/Kota],MATCH(Table11[[#This Row],[Kecamatan]],Table2[Kecamatan],0))</f>
        <v>Palembang</v>
      </c>
      <c r="F23" s="53" t="str">
        <f>INDEX(Table2[Provinsi],MATCH(Table11[[#This Row],[Kab/Kota]],Table2[Kabupaten/Kota],0))</f>
        <v>Sumatera Selatan</v>
      </c>
      <c r="G23" s="2" t="s">
        <v>199</v>
      </c>
      <c r="H23" s="60">
        <v>1</v>
      </c>
      <c r="L23" s="2" t="s">
        <v>47</v>
      </c>
      <c r="M23" s="2" t="str">
        <v>Plaju Ilir</v>
      </c>
      <c r="N23" s="2">
        <v>2</v>
      </c>
      <c r="P23" s="2" t="s">
        <v>153</v>
      </c>
      <c r="Q23" s="2" t="s">
        <v>460</v>
      </c>
      <c r="R23" s="2">
        <v>160</v>
      </c>
      <c r="S23" s="2" t="s">
        <v>208</v>
      </c>
    </row>
    <row r="24" spans="2:19" x14ac:dyDescent="0.5">
      <c r="B24" s="45">
        <f>IF(Table11[[#This Row],[Kelurahan]]="","",ROW(I20))</f>
        <v>20</v>
      </c>
      <c r="C24" s="53" t="s">
        <v>42</v>
      </c>
      <c r="D24" s="53" t="str">
        <f>INDEX(Table2[Kecamatan],MATCH(Table11[[#This Row],[Kelurahan]],Table2[Kelurahan],0))</f>
        <v>Gandus</v>
      </c>
      <c r="E24" s="53" t="str">
        <f>INDEX(Table2[Kabupaten/Kota],MATCH(Table11[[#This Row],[Kecamatan]],Table2[Kecamatan],0))</f>
        <v>Palembang</v>
      </c>
      <c r="F24" s="53" t="str">
        <f>INDEX(Table2[Provinsi],MATCH(Table11[[#This Row],[Kab/Kota]],Table2[Kabupaten/Kota],0))</f>
        <v>Sumatera Selatan</v>
      </c>
      <c r="G24" s="2" t="s">
        <v>199</v>
      </c>
      <c r="H24" s="60">
        <v>1</v>
      </c>
      <c r="L24" s="2" t="s">
        <v>47</v>
      </c>
      <c r="M24" s="2" t="str">
        <v>Sei Selayur</v>
      </c>
      <c r="N24" s="2">
        <v>1</v>
      </c>
      <c r="P24" s="2" t="s">
        <v>153</v>
      </c>
      <c r="Q24" s="2" t="s">
        <v>457</v>
      </c>
      <c r="R24" s="2">
        <v>160</v>
      </c>
      <c r="S24" s="2" t="s">
        <v>208</v>
      </c>
    </row>
    <row r="25" spans="2:19" x14ac:dyDescent="0.5">
      <c r="B25" s="45">
        <f>IF(Table11[[#This Row],[Kelurahan]]="","",ROW(I21))</f>
        <v>21</v>
      </c>
      <c r="C25" s="53" t="s">
        <v>429</v>
      </c>
      <c r="D25" s="53" t="str">
        <f>INDEX(Table2[Kecamatan],MATCH(Table11[[#This Row],[Kelurahan]],Table2[Kelurahan],0))</f>
        <v>Indralaya</v>
      </c>
      <c r="E25" s="53" t="str">
        <f>INDEX(Table2[Kabupaten/Kota],MATCH(Table11[[#This Row],[Kecamatan]],Table2[Kecamatan],0))</f>
        <v>Ogan Ilir</v>
      </c>
      <c r="F25" s="53" t="str">
        <f>INDEX(Table2[Provinsi],MATCH(Table11[[#This Row],[Kab/Kota]],Table2[Kabupaten/Kota],0))</f>
        <v>Sumatera Selatan</v>
      </c>
      <c r="G25" s="2" t="s">
        <v>199</v>
      </c>
      <c r="H25" s="60">
        <v>1</v>
      </c>
      <c r="L25" s="2" t="s">
        <v>47</v>
      </c>
      <c r="M25" s="2" t="str">
        <v>Talang Aur</v>
      </c>
      <c r="N25" s="2">
        <v>2</v>
      </c>
      <c r="P25" s="2" t="s">
        <v>153</v>
      </c>
      <c r="Q25" s="2" t="s">
        <v>454</v>
      </c>
      <c r="R25" s="2">
        <v>280</v>
      </c>
      <c r="S25" s="2" t="s">
        <v>208</v>
      </c>
    </row>
    <row r="26" spans="2:19" x14ac:dyDescent="0.5">
      <c r="B26" s="45">
        <f>IF(Table11[[#This Row],[Kelurahan]]="","",ROW(I22))</f>
        <v>22</v>
      </c>
      <c r="C26" s="53" t="s">
        <v>129</v>
      </c>
      <c r="D26" s="53" t="str">
        <f>INDEX(Table2[Kecamatan],MATCH(Table11[[#This Row],[Kelurahan]],Table2[Kelurahan],0))</f>
        <v>Sukarami</v>
      </c>
      <c r="E26" s="53" t="str">
        <f>INDEX(Table2[Kabupaten/Kota],MATCH(Table11[[#This Row],[Kecamatan]],Table2[Kecamatan],0))</f>
        <v>Palembang</v>
      </c>
      <c r="F26" s="53" t="str">
        <f>INDEX(Table2[Provinsi],MATCH(Table11[[#This Row],[Kab/Kota]],Table2[Kabupaten/Kota],0))</f>
        <v>Sumatera Selatan</v>
      </c>
      <c r="G26" s="2" t="s">
        <v>199</v>
      </c>
      <c r="H26" s="60">
        <v>1</v>
      </c>
      <c r="L26" s="2" t="s">
        <v>47</v>
      </c>
      <c r="M26" s="2" t="str">
        <v>Talang Jambe</v>
      </c>
      <c r="N26" s="2">
        <v>2</v>
      </c>
      <c r="P26" s="68" t="s">
        <v>153</v>
      </c>
      <c r="Q26" s="68" t="s">
        <v>461</v>
      </c>
      <c r="R26" s="68">
        <v>200</v>
      </c>
      <c r="S26" s="68" t="s">
        <v>208</v>
      </c>
    </row>
    <row r="27" spans="2:19" x14ac:dyDescent="0.5">
      <c r="B27" s="45">
        <f>IF(Table11[[#This Row],[Kelurahan]]="","",ROW(I23))</f>
        <v>23</v>
      </c>
      <c r="C27" s="53" t="s">
        <v>98</v>
      </c>
      <c r="D27" s="53" t="str">
        <f>INDEX(Table2[Kecamatan],MATCH(Table11[[#This Row],[Kelurahan]],Table2[Kelurahan],0))</f>
        <v>Kertapati</v>
      </c>
      <c r="E27" s="53" t="str">
        <f>INDEX(Table2[Kabupaten/Kota],MATCH(Table11[[#This Row],[Kecamatan]],Table2[Kecamatan],0))</f>
        <v>Palembang</v>
      </c>
      <c r="F27" s="53" t="str">
        <f>INDEX(Table2[Provinsi],MATCH(Table11[[#This Row],[Kab/Kota]],Table2[Kabupaten/Kota],0))</f>
        <v>Sumatera Selatan</v>
      </c>
      <c r="G27" s="2" t="s">
        <v>199</v>
      </c>
      <c r="H27" s="60">
        <v>1</v>
      </c>
      <c r="L27" s="2" t="s">
        <v>47</v>
      </c>
      <c r="M27" s="2" t="str">
        <v>Tanjung Mancang</v>
      </c>
      <c r="N27" s="2">
        <v>2</v>
      </c>
      <c r="P27" s="2" t="s">
        <v>388</v>
      </c>
      <c r="Q27" s="2" t="s">
        <v>438</v>
      </c>
      <c r="R27" s="2">
        <v>120</v>
      </c>
      <c r="S27" s="2" t="s">
        <v>209</v>
      </c>
    </row>
    <row r="28" spans="2:19" x14ac:dyDescent="0.5">
      <c r="B28" s="45">
        <f>IF(Table11[[#This Row],[Kelurahan]]="","",ROW(I24))</f>
        <v>24</v>
      </c>
      <c r="C28" s="53" t="s">
        <v>89</v>
      </c>
      <c r="D28" s="53" t="str">
        <f>INDEX(Table2[Kecamatan],MATCH(Table11[[#This Row],[Kelurahan]],Table2[Kelurahan],0))</f>
        <v>Kalidoni</v>
      </c>
      <c r="E28" s="53" t="str">
        <f>INDEX(Table2[Kabupaten/Kota],MATCH(Table11[[#This Row],[Kecamatan]],Table2[Kecamatan],0))</f>
        <v>Banyuasin</v>
      </c>
      <c r="F28" s="53" t="str">
        <f>INDEX(Table2[Provinsi],MATCH(Table11[[#This Row],[Kab/Kota]],Table2[Kabupaten/Kota],0))</f>
        <v>Sumatera Selatan</v>
      </c>
      <c r="G28" s="2" t="s">
        <v>199</v>
      </c>
      <c r="H28" s="60">
        <v>1</v>
      </c>
      <c r="L28" s="2" t="s">
        <v>48</v>
      </c>
      <c r="M28" s="2" t="str">
        <v>Timbangan</v>
      </c>
      <c r="N28" s="2">
        <v>2</v>
      </c>
      <c r="P28" s="2" t="s">
        <v>393</v>
      </c>
      <c r="Q28" s="2" t="s">
        <v>482</v>
      </c>
      <c r="R28" s="2">
        <v>300</v>
      </c>
      <c r="S28" s="2" t="s">
        <v>215</v>
      </c>
    </row>
    <row r="29" spans="2:19" x14ac:dyDescent="0.5">
      <c r="L29" s="2" t="s">
        <v>48</v>
      </c>
      <c r="M29" s="2"/>
      <c r="N29" s="2"/>
      <c r="P29" s="2" t="s">
        <v>393</v>
      </c>
      <c r="Q29" s="2" t="s">
        <v>487</v>
      </c>
      <c r="R29" s="2">
        <v>400</v>
      </c>
      <c r="S29" s="2" t="s">
        <v>215</v>
      </c>
    </row>
    <row r="30" spans="2:19" x14ac:dyDescent="0.5">
      <c r="L30" s="2" t="s">
        <v>312</v>
      </c>
      <c r="M30" s="2"/>
      <c r="N30" s="2"/>
      <c r="P30" s="2" t="s">
        <v>393</v>
      </c>
      <c r="Q30" s="2" t="s">
        <v>485</v>
      </c>
      <c r="R30" s="2">
        <v>300</v>
      </c>
      <c r="S30" s="2" t="s">
        <v>215</v>
      </c>
    </row>
    <row r="31" spans="2:19" x14ac:dyDescent="0.5">
      <c r="L31" s="2" t="s">
        <v>312</v>
      </c>
      <c r="M31" s="2"/>
      <c r="N31" s="2"/>
      <c r="P31" s="2" t="s">
        <v>393</v>
      </c>
      <c r="Q31" s="2" t="s">
        <v>484</v>
      </c>
      <c r="R31" s="2">
        <v>400</v>
      </c>
      <c r="S31" s="2" t="s">
        <v>215</v>
      </c>
    </row>
    <row r="32" spans="2:19" x14ac:dyDescent="0.5">
      <c r="L32" s="2" t="s">
        <v>312</v>
      </c>
      <c r="M32" s="2"/>
      <c r="N32" s="2"/>
      <c r="P32" s="2" t="s">
        <v>393</v>
      </c>
      <c r="Q32" s="2" t="s">
        <v>489</v>
      </c>
      <c r="R32" s="2">
        <v>400</v>
      </c>
      <c r="S32" s="2" t="s">
        <v>215</v>
      </c>
    </row>
    <row r="33" spans="12:19" x14ac:dyDescent="0.5">
      <c r="L33" s="2" t="s">
        <v>42</v>
      </c>
      <c r="M33" s="2"/>
      <c r="N33" s="2"/>
      <c r="P33" s="2" t="s">
        <v>389</v>
      </c>
      <c r="Q33" s="2" t="s">
        <v>419</v>
      </c>
      <c r="R33" s="2">
        <v>100</v>
      </c>
      <c r="S33" s="2" t="s">
        <v>220</v>
      </c>
    </row>
    <row r="34" spans="12:19" x14ac:dyDescent="0.5">
      <c r="L34" s="2" t="s">
        <v>429</v>
      </c>
      <c r="M34" s="2"/>
      <c r="N34" s="2"/>
      <c r="P34" s="2" t="s">
        <v>389</v>
      </c>
      <c r="Q34" s="2" t="s">
        <v>449</v>
      </c>
      <c r="R34" s="2">
        <v>50</v>
      </c>
      <c r="S34" s="2" t="s">
        <v>212</v>
      </c>
    </row>
    <row r="35" spans="12:19" x14ac:dyDescent="0.5">
      <c r="L35" s="2" t="s">
        <v>96</v>
      </c>
      <c r="M35" s="2"/>
      <c r="N35" s="2"/>
      <c r="P35" s="2" t="s">
        <v>6</v>
      </c>
      <c r="Q35" s="2" t="s">
        <v>425</v>
      </c>
      <c r="R35" s="2">
        <v>60</v>
      </c>
      <c r="S35" s="2" t="s">
        <v>206</v>
      </c>
    </row>
    <row r="36" spans="12:19" x14ac:dyDescent="0.5">
      <c r="L36" s="2" t="s">
        <v>96</v>
      </c>
      <c r="M36" s="2"/>
      <c r="N36" s="2"/>
      <c r="P36" s="2" t="s">
        <v>388</v>
      </c>
      <c r="Q36" s="2" t="s">
        <v>441</v>
      </c>
      <c r="R36" s="2">
        <v>110</v>
      </c>
      <c r="S36" s="2" t="s">
        <v>210</v>
      </c>
    </row>
    <row r="37" spans="12:19" x14ac:dyDescent="0.5">
      <c r="L37" s="2" t="s">
        <v>96</v>
      </c>
      <c r="M37" s="2"/>
      <c r="N37" s="2"/>
      <c r="P37" s="2" t="s">
        <v>388</v>
      </c>
      <c r="Q37" s="2" t="s">
        <v>443</v>
      </c>
      <c r="R37" s="2">
        <v>100</v>
      </c>
      <c r="S37" s="2" t="s">
        <v>210</v>
      </c>
    </row>
    <row r="38" spans="12:19" x14ac:dyDescent="0.5">
      <c r="L38" s="2" t="s">
        <v>129</v>
      </c>
      <c r="M38" s="2"/>
      <c r="N38" s="2"/>
    </row>
    <row r="39" spans="12:19" x14ac:dyDescent="0.5">
      <c r="L39" s="2" t="s">
        <v>98</v>
      </c>
      <c r="M39" s="2"/>
      <c r="N39" s="2"/>
    </row>
    <row r="40" spans="12:19" x14ac:dyDescent="0.5">
      <c r="L40" s="2" t="s">
        <v>99</v>
      </c>
      <c r="M40" s="2"/>
      <c r="N40" s="2"/>
    </row>
    <row r="41" spans="12:19" x14ac:dyDescent="0.5">
      <c r="L41" s="2" t="s">
        <v>99</v>
      </c>
      <c r="M41" s="2"/>
      <c r="N41" s="2"/>
    </row>
    <row r="42" spans="12:19" x14ac:dyDescent="0.5">
      <c r="L42" s="2" t="s">
        <v>99</v>
      </c>
      <c r="M42" s="2"/>
      <c r="N42" s="2"/>
    </row>
    <row r="43" spans="12:19" x14ac:dyDescent="0.5">
      <c r="L43" s="2" t="s">
        <v>99</v>
      </c>
      <c r="M43" s="2"/>
      <c r="N43" s="2"/>
    </row>
    <row r="44" spans="12:19" x14ac:dyDescent="0.5">
      <c r="L44" s="2" t="s">
        <v>99</v>
      </c>
      <c r="M44" s="2"/>
      <c r="N44" s="2"/>
    </row>
    <row r="45" spans="12:19" x14ac:dyDescent="0.5">
      <c r="L45" s="2" t="s">
        <v>99</v>
      </c>
      <c r="M45" s="2"/>
      <c r="N45" s="2"/>
    </row>
    <row r="46" spans="12:19" x14ac:dyDescent="0.5">
      <c r="L46" s="2" t="s">
        <v>99</v>
      </c>
      <c r="M46" s="2"/>
      <c r="N46" s="2"/>
    </row>
    <row r="47" spans="12:19" x14ac:dyDescent="0.5">
      <c r="L47" s="2" t="s">
        <v>99</v>
      </c>
      <c r="M47" s="2"/>
      <c r="N47" s="2"/>
    </row>
    <row r="48" spans="12:19" x14ac:dyDescent="0.5">
      <c r="L48" s="2" t="s">
        <v>99</v>
      </c>
      <c r="M48" s="2"/>
      <c r="N48" s="2"/>
    </row>
    <row r="49" spans="2:19" x14ac:dyDescent="0.5">
      <c r="L49" s="2" t="s">
        <v>99</v>
      </c>
      <c r="M49" s="2"/>
      <c r="N49" s="2"/>
    </row>
    <row r="50" spans="2:19" s="57" customFormat="1" x14ac:dyDescent="0.35">
      <c r="B50" s="7"/>
      <c r="C50"/>
      <c r="D50"/>
      <c r="E50"/>
      <c r="F50"/>
      <c r="G50"/>
      <c r="H50" s="1"/>
      <c r="J50" s="62"/>
      <c r="L50" s="2" t="s">
        <v>99</v>
      </c>
      <c r="M50" s="2"/>
      <c r="N50" s="2"/>
      <c r="P50"/>
      <c r="Q50"/>
      <c r="R50"/>
      <c r="S50"/>
    </row>
    <row r="51" spans="2:19" x14ac:dyDescent="0.5">
      <c r="L51" s="2" t="s">
        <v>99</v>
      </c>
      <c r="M51" s="68"/>
      <c r="N51" s="68"/>
    </row>
    <row r="52" spans="2:19" x14ac:dyDescent="0.5">
      <c r="L52" s="2" t="s">
        <v>49</v>
      </c>
      <c r="M52" s="2"/>
      <c r="N52" s="2"/>
    </row>
    <row r="53" spans="2:19" x14ac:dyDescent="0.5">
      <c r="L53" s="2" t="s">
        <v>49</v>
      </c>
      <c r="M53" s="2"/>
      <c r="N53" s="2"/>
    </row>
    <row r="54" spans="2:19" x14ac:dyDescent="0.5">
      <c r="L54" s="2" t="s">
        <v>49</v>
      </c>
      <c r="M54" s="2"/>
      <c r="N54" s="2"/>
    </row>
    <row r="55" spans="2:19" x14ac:dyDescent="0.5">
      <c r="L55" s="2" t="s">
        <v>314</v>
      </c>
      <c r="M55" s="2"/>
      <c r="N55" s="2"/>
    </row>
    <row r="56" spans="2:19" x14ac:dyDescent="0.5">
      <c r="L56" s="2" t="s">
        <v>314</v>
      </c>
      <c r="M56" s="2"/>
      <c r="N56" s="2"/>
    </row>
    <row r="57" spans="2:19" x14ac:dyDescent="0.5">
      <c r="L57" s="2" t="s">
        <v>105</v>
      </c>
      <c r="M57" s="2"/>
      <c r="N57" s="2"/>
    </row>
    <row r="58" spans="2:19" x14ac:dyDescent="0.5">
      <c r="L58" s="2" t="s">
        <v>105</v>
      </c>
      <c r="M58" s="2"/>
      <c r="N58" s="2"/>
    </row>
    <row r="59" spans="2:19" x14ac:dyDescent="0.5">
      <c r="L59" s="2" t="s">
        <v>89</v>
      </c>
      <c r="M59" s="2"/>
      <c r="N59" s="2"/>
    </row>
    <row r="60" spans="2:19" x14ac:dyDescent="0.5">
      <c r="L60" s="2" t="s">
        <v>391</v>
      </c>
      <c r="M60" s="2"/>
      <c r="N60" s="2"/>
    </row>
    <row r="61" spans="2:19" x14ac:dyDescent="0.5">
      <c r="L61" s="2" t="s">
        <v>391</v>
      </c>
      <c r="M61" s="2"/>
      <c r="N61" s="2"/>
    </row>
    <row r="62" spans="2:19" x14ac:dyDescent="0.5">
      <c r="L62" s="2" t="s">
        <v>135</v>
      </c>
      <c r="M62" s="2"/>
      <c r="N62" s="2"/>
    </row>
    <row r="63" spans="2:19" x14ac:dyDescent="0.5">
      <c r="L63" s="68" t="s">
        <v>135</v>
      </c>
      <c r="M63" s="2"/>
      <c r="N63" s="2"/>
    </row>
    <row r="64" spans="2:19" x14ac:dyDescent="0.5">
      <c r="L64" s="2" t="s">
        <v>299</v>
      </c>
      <c r="M64" s="2"/>
      <c r="N64" s="2"/>
    </row>
    <row r="65" spans="12:14" x14ac:dyDescent="0.5">
      <c r="L65" s="2" t="s">
        <v>299</v>
      </c>
      <c r="M65" s="2"/>
      <c r="N65" s="2"/>
    </row>
    <row r="66" spans="12:14" x14ac:dyDescent="0.5">
      <c r="L66" s="2" t="s">
        <v>244</v>
      </c>
      <c r="M66" s="2"/>
      <c r="N66" s="2"/>
    </row>
    <row r="67" spans="12:14" x14ac:dyDescent="0.5">
      <c r="L67" s="2" t="s">
        <v>244</v>
      </c>
      <c r="M67" s="2"/>
      <c r="N67" s="2"/>
    </row>
  </sheetData>
  <autoFilter ref="P4:S44" xr:uid="{A97B0EAF-A99E-40C0-9F50-72FA849D9F9B}">
    <sortState xmlns:xlrd2="http://schemas.microsoft.com/office/spreadsheetml/2017/richdata2" ref="P5:S44">
      <sortCondition ref="Q4:Q44"/>
    </sortState>
  </autoFilter>
  <sortState xmlns:xlrd2="http://schemas.microsoft.com/office/spreadsheetml/2017/richdata2" ref="L5:L67">
    <sortCondition ref="L5:L67"/>
  </sortState>
  <mergeCells count="3">
    <mergeCell ref="B2:H2"/>
    <mergeCell ref="L2:N2"/>
    <mergeCell ref="P2:S2"/>
  </mergeCells>
  <conditionalFormatting sqref="Q1:Q37 Q45:Q1048576">
    <cfRule type="duplicateValues" dxfId="2" priority="1"/>
  </conditionalFormatting>
  <conditionalFormatting sqref="Q4">
    <cfRule type="duplicateValues" dxfId="1" priority="2"/>
  </conditionalFormatting>
  <dataValidations count="1">
    <dataValidation type="list" allowBlank="1" showInputMessage="1" showErrorMessage="1" sqref="C5:C28" xr:uid="{3C8E6497-4870-4F73-B30C-E9FA7AA2C37D}">
      <formula1>t_kel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0CF23-E928-4B95-9980-7E60CD2F2310}">
  <dimension ref="B1:L200"/>
  <sheetViews>
    <sheetView topLeftCell="A43" zoomScale="77" workbookViewId="0">
      <selection activeCell="O9" sqref="O9"/>
    </sheetView>
  </sheetViews>
  <sheetFormatPr defaultRowHeight="14.5" x14ac:dyDescent="0.35"/>
  <cols>
    <col min="2" max="2" width="7.7265625" bestFit="1" customWidth="1"/>
    <col min="3" max="3" width="11.6328125" bestFit="1" customWidth="1"/>
    <col min="4" max="4" width="12.453125" bestFit="1" customWidth="1"/>
    <col min="5" max="5" width="11" bestFit="1" customWidth="1"/>
    <col min="6" max="6" width="24.6328125" bestFit="1" customWidth="1"/>
    <col min="7" max="7" width="9" bestFit="1" customWidth="1"/>
    <col min="8" max="8" width="21.08984375" bestFit="1" customWidth="1"/>
    <col min="10" max="11" width="19.08984375" bestFit="1" customWidth="1"/>
    <col min="12" max="12" width="6.81640625" bestFit="1" customWidth="1"/>
  </cols>
  <sheetData>
    <row r="1" spans="2:12" ht="15" thickBot="1" x14ac:dyDescent="0.4"/>
    <row r="2" spans="2:12" ht="16" thickBot="1" x14ac:dyDescent="0.4">
      <c r="B2" s="98" t="s">
        <v>195</v>
      </c>
      <c r="C2" s="99"/>
      <c r="D2" s="99"/>
      <c r="E2" s="99"/>
      <c r="F2" s="99"/>
      <c r="G2" s="99"/>
      <c r="H2" s="100"/>
    </row>
    <row r="3" spans="2:12" x14ac:dyDescent="0.35">
      <c r="B3" s="7"/>
      <c r="H3" s="1"/>
    </row>
    <row r="4" spans="2:12" x14ac:dyDescent="0.35">
      <c r="B4" s="59" t="s">
        <v>28</v>
      </c>
      <c r="C4" s="39" t="s">
        <v>29</v>
      </c>
      <c r="D4" s="39" t="s">
        <v>30</v>
      </c>
      <c r="E4" s="39" t="s">
        <v>196</v>
      </c>
      <c r="F4" s="39" t="s">
        <v>31</v>
      </c>
      <c r="G4" s="39" t="s">
        <v>197</v>
      </c>
      <c r="H4" s="58" t="s">
        <v>198</v>
      </c>
      <c r="J4" s="2" t="s">
        <v>29</v>
      </c>
      <c r="K4" s="2" t="s">
        <v>524</v>
      </c>
      <c r="L4" s="2" t="s">
        <v>538</v>
      </c>
    </row>
    <row r="5" spans="2:12" ht="15.5" x14ac:dyDescent="0.35">
      <c r="B5" s="45">
        <f>IF(Table1110[[#This Row],[Kelurahan]]="","",ROW(I1))</f>
        <v>1</v>
      </c>
      <c r="C5" s="53" t="s">
        <v>99</v>
      </c>
      <c r="D5" s="53" t="str">
        <f>INDEX(Table2[Kecamatan],MATCH(Table1110[[#This Row],[Kelurahan]],Table2[Kelurahan],0))</f>
        <v>Kertapati</v>
      </c>
      <c r="E5" s="53" t="str">
        <f>INDEX(Table2[Kabupaten/Kota],MATCH(Table1110[[#This Row],[Kecamatan]],Table2[Kecamatan],0))</f>
        <v>Palembang</v>
      </c>
      <c r="F5" s="53" t="str">
        <f>INDEX(Table2[Provinsi],MATCH(Table1110[[#This Row],[Kab/Kota]],Table2[Kabupaten/Kota],0))</f>
        <v>Sumatera Selatan</v>
      </c>
      <c r="G5" s="45" t="s">
        <v>199</v>
      </c>
      <c r="H5" s="60">
        <v>48</v>
      </c>
      <c r="J5" s="2" t="s">
        <v>77</v>
      </c>
      <c r="K5" s="2" t="str" cm="1">
        <f t="array" ref="K5:K54">_xlfn.UNIQUE(J5:J200)</f>
        <v>10 Ilir</v>
      </c>
      <c r="L5" s="2" cm="1">
        <f t="array" ref="L5:L54">COUNTIF(J5:$J$200,_xlfn.ANCHORARRAY(K5))</f>
        <v>1</v>
      </c>
    </row>
    <row r="6" spans="2:12" ht="15.5" x14ac:dyDescent="0.35">
      <c r="B6" s="45">
        <f>IF(Table1110[[#This Row],[Kelurahan]]="","",ROW(I2))</f>
        <v>2</v>
      </c>
      <c r="C6" s="53" t="s">
        <v>96</v>
      </c>
      <c r="D6" s="53" t="str">
        <f>INDEX(Table2[Kecamatan],MATCH(Table1110[[#This Row],[Kelurahan]],Table2[Kelurahan],0))</f>
        <v>Kertapati</v>
      </c>
      <c r="E6" s="53" t="str">
        <f>INDEX(Table2[Kabupaten/Kota],MATCH(Table1110[[#This Row],[Kecamatan]],Table2[Kecamatan],0))</f>
        <v>Palembang</v>
      </c>
      <c r="F6" s="53" t="str">
        <f>INDEX(Table2[Provinsi],MATCH(Table1110[[#This Row],[Kab/Kota]],Table2[Kabupaten/Kota],0))</f>
        <v>Sumatera Selatan</v>
      </c>
      <c r="G6" s="45" t="s">
        <v>199</v>
      </c>
      <c r="H6" s="60">
        <v>23</v>
      </c>
      <c r="J6" s="2" t="s">
        <v>119</v>
      </c>
      <c r="K6" s="2" t="str">
        <v>12 Ulu</v>
      </c>
      <c r="L6" s="2">
        <v>1</v>
      </c>
    </row>
    <row r="7" spans="2:12" ht="15.5" x14ac:dyDescent="0.35">
      <c r="B7" s="45">
        <f>IF(Table1110[[#This Row],[Kelurahan]]="","",ROW(I3))</f>
        <v>3</v>
      </c>
      <c r="C7" s="53" t="s">
        <v>82</v>
      </c>
      <c r="D7" s="53" t="str">
        <f>INDEX(Table2[Kecamatan],MATCH(Table1110[[#This Row],[Kelurahan]],Table2[Kelurahan],0))</f>
        <v>Jakabaring</v>
      </c>
      <c r="E7" s="53" t="str">
        <f>INDEX(Table2[Kabupaten/Kota],MATCH(Table1110[[#This Row],[Kecamatan]],Table2[Kecamatan],0))</f>
        <v>Palembang</v>
      </c>
      <c r="F7" s="53" t="str">
        <f>INDEX(Table2[Provinsi],MATCH(Table1110[[#This Row],[Kab/Kota]],Table2[Kabupaten/Kota],0))</f>
        <v>Sumatera Selatan</v>
      </c>
      <c r="G7" s="45" t="s">
        <v>199</v>
      </c>
      <c r="H7" s="60">
        <v>13</v>
      </c>
      <c r="J7" s="2" t="s">
        <v>83</v>
      </c>
      <c r="K7" s="2" t="str">
        <v>15 Ulu</v>
      </c>
      <c r="L7" s="2">
        <v>1</v>
      </c>
    </row>
    <row r="8" spans="2:12" ht="15.5" x14ac:dyDescent="0.35">
      <c r="B8" s="45">
        <f>IF(Table1110[[#This Row],[Kelurahan]]="","",ROW(I4))</f>
        <v>4</v>
      </c>
      <c r="C8" s="53" t="s">
        <v>47</v>
      </c>
      <c r="D8" s="53" t="str">
        <f>INDEX(Table2[Kecamatan],MATCH(Table1110[[#This Row],[Kelurahan]],Table2[Kelurahan],0))</f>
        <v>Ilir Barat I</v>
      </c>
      <c r="E8" s="53" t="str">
        <f>INDEX(Table2[Kabupaten/Kota],MATCH(Table1110[[#This Row],[Kecamatan]],Table2[Kecamatan],0))</f>
        <v>Palembang</v>
      </c>
      <c r="F8" s="53" t="str">
        <f>INDEX(Table2[Provinsi],MATCH(Table1110[[#This Row],[Kab/Kota]],Table2[Kabupaten/Kota],0))</f>
        <v>Sumatera Selatan</v>
      </c>
      <c r="G8" s="45" t="s">
        <v>199</v>
      </c>
      <c r="H8" s="60">
        <v>12</v>
      </c>
      <c r="J8" s="2" t="s">
        <v>61</v>
      </c>
      <c r="K8" s="2" t="str">
        <v>16 Ilir</v>
      </c>
      <c r="L8" s="2">
        <v>1</v>
      </c>
    </row>
    <row r="9" spans="2:12" ht="31" x14ac:dyDescent="0.35">
      <c r="B9" s="45">
        <f>IF(Table1110[[#This Row],[Kelurahan]]="","",ROW(I5))</f>
        <v>5</v>
      </c>
      <c r="C9" s="53" t="s">
        <v>299</v>
      </c>
      <c r="D9" s="53" t="str">
        <f>INDEX(Table2[Kecamatan],MATCH(Table1110[[#This Row],[Kelurahan]],Table2[Kelurahan],0))</f>
        <v>Kejuruan Muda</v>
      </c>
      <c r="E9" s="53" t="str">
        <f>INDEX(Table2[Kabupaten/Kota],MATCH(Table1110[[#This Row],[Kecamatan]],Table2[Kecamatan],0))</f>
        <v>Aceh Tamiang</v>
      </c>
      <c r="F9" s="53" t="str">
        <f>INDEX(Table2[Provinsi],MATCH(Table1110[[#This Row],[Kab/Kota]],Table2[Kabupaten/Kota],0))</f>
        <v>Nangroe Aceh Darussalam</v>
      </c>
      <c r="G9" s="45" t="s">
        <v>199</v>
      </c>
      <c r="H9" s="60">
        <v>10</v>
      </c>
      <c r="J9" s="2" t="s">
        <v>122</v>
      </c>
      <c r="K9" s="2" t="str">
        <v>16 Ulu</v>
      </c>
      <c r="L9" s="2">
        <v>1</v>
      </c>
    </row>
    <row r="10" spans="2:12" ht="31" x14ac:dyDescent="0.35">
      <c r="B10" s="45">
        <f>IF(Table1110[[#This Row],[Kelurahan]]="","",ROW(I6))</f>
        <v>6</v>
      </c>
      <c r="C10" s="53" t="s">
        <v>48</v>
      </c>
      <c r="D10" s="53" t="str">
        <f>INDEX(Table2[Kecamatan],MATCH(Table1110[[#This Row],[Kelurahan]],Table2[Kelurahan],0))</f>
        <v>Ilir Barat I</v>
      </c>
      <c r="E10" s="53" t="str">
        <f>INDEX(Table2[Kabupaten/Kota],MATCH(Table1110[[#This Row],[Kecamatan]],Table2[Kecamatan],0))</f>
        <v>Palembang</v>
      </c>
      <c r="F10" s="53" t="str">
        <f>INDEX(Table2[Provinsi],MATCH(Table1110[[#This Row],[Kab/Kota]],Table2[Kabupaten/Kota],0))</f>
        <v>Sumatera Selatan</v>
      </c>
      <c r="G10" s="45" t="s">
        <v>199</v>
      </c>
      <c r="H10" s="60">
        <v>7</v>
      </c>
      <c r="J10" s="2" t="s">
        <v>224</v>
      </c>
      <c r="K10" s="2" t="str">
        <v>20 Ilir D-II</v>
      </c>
      <c r="L10" s="2">
        <v>4</v>
      </c>
    </row>
    <row r="11" spans="2:12" ht="15.5" x14ac:dyDescent="0.35">
      <c r="B11" s="45">
        <f>IF(Table1110[[#This Row],[Kelurahan]]="","",ROW(I7))</f>
        <v>7</v>
      </c>
      <c r="C11" s="53" t="s">
        <v>49</v>
      </c>
      <c r="D11" s="53" t="str">
        <f>INDEX(Table2[Kecamatan],MATCH(Table1110[[#This Row],[Kelurahan]],Table2[Kelurahan],0))</f>
        <v>Ilir Barat I</v>
      </c>
      <c r="E11" s="53" t="str">
        <f>INDEX(Table2[Kabupaten/Kota],MATCH(Table1110[[#This Row],[Kecamatan]],Table2[Kecamatan],0))</f>
        <v>Palembang</v>
      </c>
      <c r="F11" s="53" t="str">
        <f>INDEX(Table2[Provinsi],MATCH(Table1110[[#This Row],[Kab/Kota]],Table2[Kabupaten/Kota],0))</f>
        <v>Sumatera Selatan</v>
      </c>
      <c r="G11" s="45" t="s">
        <v>199</v>
      </c>
      <c r="H11" s="60">
        <v>7</v>
      </c>
      <c r="J11" s="2" t="s">
        <v>224</v>
      </c>
      <c r="K11" s="2" t="str">
        <v>24 Ilir</v>
      </c>
      <c r="L11" s="2">
        <v>1</v>
      </c>
    </row>
    <row r="12" spans="2:12" ht="15.5" x14ac:dyDescent="0.35">
      <c r="B12" s="45">
        <f>IF(Table1110[[#This Row],[Kelurahan]]="","",ROW(I8))</f>
        <v>8</v>
      </c>
      <c r="C12" s="53" t="s">
        <v>75</v>
      </c>
      <c r="D12" s="53" t="str">
        <f>INDEX(Table2[Kecamatan],MATCH(Table1110[[#This Row],[Kelurahan]],Table2[Kelurahan],0))</f>
        <v>Ilir Timur III</v>
      </c>
      <c r="E12" s="53" t="str">
        <f>INDEX(Table2[Kabupaten/Kota],MATCH(Table1110[[#This Row],[Kecamatan]],Table2[Kecamatan],0))</f>
        <v>Palembang</v>
      </c>
      <c r="F12" s="53" t="str">
        <f>INDEX(Table2[Provinsi],MATCH(Table1110[[#This Row],[Kab/Kota]],Table2[Kabupaten/Kota],0))</f>
        <v>Sumatera Selatan</v>
      </c>
      <c r="G12" s="45" t="s">
        <v>199</v>
      </c>
      <c r="H12" s="60">
        <v>7</v>
      </c>
      <c r="J12" s="2" t="s">
        <v>224</v>
      </c>
      <c r="K12" s="2" t="str">
        <v>26 Ilir</v>
      </c>
      <c r="L12" s="2">
        <v>2</v>
      </c>
    </row>
    <row r="13" spans="2:12" ht="15.5" x14ac:dyDescent="0.35">
      <c r="B13" s="45">
        <f>IF(Table1110[[#This Row],[Kelurahan]]="","",ROW(I9))</f>
        <v>9</v>
      </c>
      <c r="C13" s="53" t="s">
        <v>224</v>
      </c>
      <c r="D13" s="53" t="str">
        <f>INDEX(Table2[Kecamatan],MATCH(Table1110[[#This Row],[Kelurahan]],Table2[Kelurahan],0))</f>
        <v>Kemuning</v>
      </c>
      <c r="E13" s="53" t="str">
        <f>INDEX(Table2[Kabupaten/Kota],MATCH(Table1110[[#This Row],[Kecamatan]],Table2[Kecamatan],0))</f>
        <v>Palembang</v>
      </c>
      <c r="F13" s="53" t="str">
        <f>INDEX(Table2[Provinsi],MATCH(Table1110[[#This Row],[Kab/Kota]],Table2[Kabupaten/Kota],0))</f>
        <v>Sumatera Selatan</v>
      </c>
      <c r="G13" s="45" t="s">
        <v>199</v>
      </c>
      <c r="H13" s="60">
        <v>4</v>
      </c>
      <c r="J13" s="2" t="s">
        <v>224</v>
      </c>
      <c r="K13" s="2" t="str">
        <v>8 Ilir</v>
      </c>
      <c r="L13" s="2">
        <v>7</v>
      </c>
    </row>
    <row r="14" spans="2:12" ht="31" x14ac:dyDescent="0.35">
      <c r="B14" s="45">
        <f>IF(Table1110[[#This Row],[Kelurahan]]="","",ROW(I10))</f>
        <v>10</v>
      </c>
      <c r="C14" s="53" t="s">
        <v>91</v>
      </c>
      <c r="D14" s="53" t="str">
        <f>INDEX(Table2[Kecamatan],MATCH(Table1110[[#This Row],[Kelurahan]],Table2[Kelurahan],0))</f>
        <v>Kemuning</v>
      </c>
      <c r="E14" s="53" t="str">
        <f>INDEX(Table2[Kabupaten/Kota],MATCH(Table1110[[#This Row],[Kecamatan]],Table2[Kecamatan],0))</f>
        <v>Palembang</v>
      </c>
      <c r="F14" s="53" t="str">
        <f>INDEX(Table2[Provinsi],MATCH(Table1110[[#This Row],[Kab/Kota]],Table2[Kabupaten/Kota],0))</f>
        <v>Sumatera Selatan</v>
      </c>
      <c r="G14" s="45" t="s">
        <v>199</v>
      </c>
      <c r="H14" s="60">
        <v>4</v>
      </c>
      <c r="J14" s="2" t="s">
        <v>38</v>
      </c>
      <c r="K14" s="2" t="str">
        <v>9/10 Ulu</v>
      </c>
      <c r="L14" s="2">
        <v>13</v>
      </c>
    </row>
    <row r="15" spans="2:12" ht="31" x14ac:dyDescent="0.35">
      <c r="B15" s="45">
        <f>IF(Table1110[[#This Row],[Kelurahan]]="","",ROW(I11))</f>
        <v>11</v>
      </c>
      <c r="C15" s="53" t="s">
        <v>40</v>
      </c>
      <c r="D15" s="53" t="str">
        <f>INDEX(Table2[Kecamatan],MATCH(Table1110[[#This Row],[Kelurahan]],Table2[Kelurahan],0))</f>
        <v>Bukit Kecil</v>
      </c>
      <c r="E15" s="53" t="str">
        <f>INDEX(Table2[Kabupaten/Kota],MATCH(Table1110[[#This Row],[Kecamatan]],Table2[Kecamatan],0))</f>
        <v>Palembang</v>
      </c>
      <c r="F15" s="53" t="str">
        <f>INDEX(Table2[Provinsi],MATCH(Table1110[[#This Row],[Kab/Kota]],Table2[Kabupaten/Kota],0))</f>
        <v>Sumatera Selatan</v>
      </c>
      <c r="G15" s="45" t="s">
        <v>199</v>
      </c>
      <c r="H15" s="60">
        <v>3</v>
      </c>
      <c r="J15" s="2" t="s">
        <v>39</v>
      </c>
      <c r="K15" s="2" t="str">
        <v>Alur Cucur</v>
      </c>
      <c r="L15" s="2">
        <v>2</v>
      </c>
    </row>
    <row r="16" spans="2:12" ht="15.5" x14ac:dyDescent="0.35">
      <c r="B16" s="45">
        <f>IF(Table1110[[#This Row],[Kelurahan]]="","",ROW(I12))</f>
        <v>12</v>
      </c>
      <c r="C16" s="53" t="s">
        <v>391</v>
      </c>
      <c r="D16" s="53" t="str">
        <f>INDEX(Table2[Kecamatan],MATCH(Table1110[[#This Row],[Kelurahan]],Table2[Kelurahan],0))</f>
        <v>Indralaya</v>
      </c>
      <c r="E16" s="53" t="str">
        <f>INDEX(Table2[Kabupaten/Kota],MATCH(Table1110[[#This Row],[Kecamatan]],Table2[Kecamatan],0))</f>
        <v>Ogan Ilir</v>
      </c>
      <c r="F16" s="53" t="str">
        <f>INDEX(Table2[Provinsi],MATCH(Table1110[[#This Row],[Kab/Kota]],Table2[Kabupaten/Kota],0))</f>
        <v>Sumatera Selatan</v>
      </c>
      <c r="G16" s="45" t="s">
        <v>199</v>
      </c>
      <c r="H16" s="60">
        <v>3</v>
      </c>
      <c r="J16" s="2" t="s">
        <v>39</v>
      </c>
      <c r="K16" s="2" t="str">
        <v>Ario Kemuning</v>
      </c>
      <c r="L16" s="2">
        <v>4</v>
      </c>
    </row>
    <row r="17" spans="2:12" ht="31" x14ac:dyDescent="0.35">
      <c r="B17" s="45">
        <f>IF(Table1110[[#This Row],[Kelurahan]]="","",ROW(I13))</f>
        <v>13</v>
      </c>
      <c r="C17" s="53" t="s">
        <v>97</v>
      </c>
      <c r="D17" s="53" t="str">
        <f>INDEX(Table2[Kecamatan],MATCH(Table1110[[#This Row],[Kelurahan]],Table2[Kelurahan],0))</f>
        <v>Kertapati</v>
      </c>
      <c r="E17" s="53" t="str">
        <f>INDEX(Table2[Kabupaten/Kota],MATCH(Table1110[[#This Row],[Kecamatan]],Table2[Kecamatan],0))</f>
        <v>Palembang</v>
      </c>
      <c r="F17" s="53" t="str">
        <f>INDEX(Table2[Provinsi],MATCH(Table1110[[#This Row],[Kab/Kota]],Table2[Kabupaten/Kota],0))</f>
        <v>Sumatera Selatan</v>
      </c>
      <c r="G17" s="45" t="s">
        <v>199</v>
      </c>
      <c r="H17" s="60">
        <v>3</v>
      </c>
      <c r="J17" s="2" t="s">
        <v>75</v>
      </c>
      <c r="K17" s="2" t="str">
        <v>Balai</v>
      </c>
      <c r="L17" s="2">
        <v>2</v>
      </c>
    </row>
    <row r="18" spans="2:12" ht="31" x14ac:dyDescent="0.35">
      <c r="B18" s="45">
        <f>IF(Table1110[[#This Row],[Kelurahan]]="","",ROW(I14))</f>
        <v>14</v>
      </c>
      <c r="C18" s="53" t="s">
        <v>312</v>
      </c>
      <c r="D18" s="53" t="str">
        <f>INDEX(Table2[Kecamatan],MATCH(Table1110[[#This Row],[Kelurahan]],Table2[Kelurahan],0))</f>
        <v>Rantau</v>
      </c>
      <c r="E18" s="53" t="str">
        <f>INDEX(Table2[Kabupaten/Kota],MATCH(Table1110[[#This Row],[Kecamatan]],Table2[Kecamatan],0))</f>
        <v>Aceh Tamiang</v>
      </c>
      <c r="F18" s="53" t="str">
        <f>INDEX(Table2[Provinsi],MATCH(Table1110[[#This Row],[Kab/Kota]],Table2[Kabupaten/Kota],0))</f>
        <v>Nangroe Aceh Darussalam</v>
      </c>
      <c r="G18" s="45" t="s">
        <v>199</v>
      </c>
      <c r="H18" s="60">
        <v>3</v>
      </c>
      <c r="J18" s="2" t="s">
        <v>75</v>
      </c>
      <c r="K18" s="2" t="str">
        <v>Bukit Baru</v>
      </c>
      <c r="L18" s="2">
        <v>1</v>
      </c>
    </row>
    <row r="19" spans="2:12" ht="31" x14ac:dyDescent="0.35">
      <c r="B19" s="45">
        <f>IF(Table1110[[#This Row],[Kelurahan]]="","",ROW(I15))</f>
        <v>15</v>
      </c>
      <c r="C19" s="53" t="s">
        <v>166</v>
      </c>
      <c r="D19" s="53" t="str">
        <f>INDEX(Table2[Kecamatan],MATCH(Table1110[[#This Row],[Kelurahan]],Table2[Kelurahan],0))</f>
        <v>Talang Kelapa</v>
      </c>
      <c r="E19" s="53" t="str">
        <f>INDEX(Table2[Kabupaten/Kota],MATCH(Table1110[[#This Row],[Kecamatan]],Table2[Kecamatan],0))</f>
        <v>Banyuasin</v>
      </c>
      <c r="F19" s="53" t="str">
        <f>INDEX(Table2[Provinsi],MATCH(Table1110[[#This Row],[Kab/Kota]],Table2[Kabupaten/Kota],0))</f>
        <v>Sumatera Selatan</v>
      </c>
      <c r="G19" s="45" t="s">
        <v>199</v>
      </c>
      <c r="H19" s="60">
        <v>3</v>
      </c>
      <c r="J19" s="2" t="s">
        <v>75</v>
      </c>
      <c r="K19" s="2" t="str">
        <v>Bukit Lama</v>
      </c>
      <c r="L19" s="2">
        <v>12</v>
      </c>
    </row>
    <row r="20" spans="2:12" ht="31" x14ac:dyDescent="0.35">
      <c r="B20" s="45">
        <f>IF(Table1110[[#This Row],[Kelurahan]]="","",ROW(I16))</f>
        <v>16</v>
      </c>
      <c r="C20" s="53" t="s">
        <v>296</v>
      </c>
      <c r="D20" s="53" t="str">
        <f>INDEX(Table2[Kecamatan],MATCH(Table1110[[#This Row],[Kelurahan]],Table2[Kelurahan],0))</f>
        <v>Bendahara</v>
      </c>
      <c r="E20" s="53" t="str">
        <f>INDEX(Table2[Kabupaten/Kota],MATCH(Table1110[[#This Row],[Kecamatan]],Table2[Kecamatan],0))</f>
        <v>Aceh Tamiang</v>
      </c>
      <c r="F20" s="53" t="str">
        <f>INDEX(Table2[Provinsi],MATCH(Table1110[[#This Row],[Kab/Kota]],Table2[Kabupaten/Kota],0))</f>
        <v>Nangroe Aceh Darussalam</v>
      </c>
      <c r="G20" s="45" t="s">
        <v>199</v>
      </c>
      <c r="H20" s="60">
        <v>2</v>
      </c>
      <c r="J20" s="2" t="s">
        <v>75</v>
      </c>
      <c r="K20" s="2" t="str">
        <v>Demang Lebar Daun</v>
      </c>
      <c r="L20" s="2">
        <v>7</v>
      </c>
    </row>
    <row r="21" spans="2:12" ht="15.5" x14ac:dyDescent="0.35">
      <c r="B21" s="45">
        <f>IF(Table1110[[#This Row],[Kelurahan]]="","",ROW(I17))</f>
        <v>17</v>
      </c>
      <c r="C21" s="53" t="s">
        <v>39</v>
      </c>
      <c r="D21" s="53" t="str">
        <f>INDEX(Table2[Kecamatan],MATCH(Table1110[[#This Row],[Kelurahan]],Table2[Kelurahan],0))</f>
        <v>Bukit Kecil</v>
      </c>
      <c r="E21" s="53" t="str">
        <f>INDEX(Table2[Kabupaten/Kota],MATCH(Table1110[[#This Row],[Kecamatan]],Table2[Kecamatan],0))</f>
        <v>Palembang</v>
      </c>
      <c r="F21" s="53" t="str">
        <f>INDEX(Table2[Provinsi],MATCH(Table1110[[#This Row],[Kab/Kota]],Table2[Kabupaten/Kota],0))</f>
        <v>Sumatera Selatan</v>
      </c>
      <c r="G21" s="45" t="s">
        <v>199</v>
      </c>
      <c r="H21" s="60">
        <v>2</v>
      </c>
      <c r="J21" s="2" t="s">
        <v>75</v>
      </c>
      <c r="K21" s="2" t="str">
        <v>Durian</v>
      </c>
      <c r="L21" s="2">
        <v>3</v>
      </c>
    </row>
    <row r="22" spans="2:12" ht="31" x14ac:dyDescent="0.35">
      <c r="B22" s="45">
        <f>IF(Table1110[[#This Row],[Kelurahan]]="","",ROW(I18))</f>
        <v>18</v>
      </c>
      <c r="C22" s="53" t="s">
        <v>68</v>
      </c>
      <c r="D22" s="53" t="str">
        <f>INDEX(Table2[Kecamatan],MATCH(Table1110[[#This Row],[Kelurahan]],Table2[Kelurahan],0))</f>
        <v>Ilir Timur I</v>
      </c>
      <c r="E22" s="53" t="str">
        <f>INDEX(Table2[Kabupaten/Kota],MATCH(Table1110[[#This Row],[Kecamatan]],Table2[Kecamatan],0))</f>
        <v>Palembang</v>
      </c>
      <c r="F22" s="53" t="str">
        <f>INDEX(Table2[Provinsi],MATCH(Table1110[[#This Row],[Kab/Kota]],Table2[Kabupaten/Kota],0))</f>
        <v>Sumatera Selatan</v>
      </c>
      <c r="G22" s="45" t="s">
        <v>199</v>
      </c>
      <c r="H22" s="60">
        <v>2</v>
      </c>
      <c r="J22" s="2" t="s">
        <v>75</v>
      </c>
      <c r="K22" s="2" t="str">
        <v>Gandus</v>
      </c>
      <c r="L22" s="2">
        <v>1</v>
      </c>
    </row>
    <row r="23" spans="2:12" ht="15.5" x14ac:dyDescent="0.35">
      <c r="B23" s="45">
        <f>IF(Table1110[[#This Row],[Kelurahan]]="","",ROW(I19))</f>
        <v>19</v>
      </c>
      <c r="C23" s="53" t="s">
        <v>243</v>
      </c>
      <c r="D23" s="53" t="str">
        <f>INDEX(Table2[Kecamatan],MATCH(Table1110[[#This Row],[Kelurahan]],Table2[Kelurahan],0))</f>
        <v>Indralaya</v>
      </c>
      <c r="E23" s="53" t="str">
        <f>INDEX(Table2[Kabupaten/Kota],MATCH(Table1110[[#This Row],[Kecamatan]],Table2[Kecamatan],0))</f>
        <v>Ogan Ilir</v>
      </c>
      <c r="F23" s="53" t="str">
        <f>INDEX(Table2[Provinsi],MATCH(Table1110[[#This Row],[Kab/Kota]],Table2[Kabupaten/Kota],0))</f>
        <v>Sumatera Selatan</v>
      </c>
      <c r="G23" s="45" t="s">
        <v>199</v>
      </c>
      <c r="H23" s="60">
        <v>2</v>
      </c>
      <c r="J23" s="2" t="s">
        <v>75</v>
      </c>
      <c r="K23" s="2" t="str">
        <v>Indralaya Indah</v>
      </c>
      <c r="L23" s="2">
        <v>1</v>
      </c>
    </row>
    <row r="24" spans="2:12" ht="31" x14ac:dyDescent="0.35">
      <c r="B24" s="45">
        <f>IF(Table1110[[#This Row],[Kelurahan]]="","",ROW(I20))</f>
        <v>20</v>
      </c>
      <c r="C24" s="53" t="s">
        <v>392</v>
      </c>
      <c r="D24" s="53" t="str">
        <f>INDEX(Table2[Kecamatan],MATCH(Table1110[[#This Row],[Kelurahan]],Table2[Kelurahan],0))</f>
        <v>Indralaya</v>
      </c>
      <c r="E24" s="53" t="str">
        <f>INDEX(Table2[Kabupaten/Kota],MATCH(Table1110[[#This Row],[Kecamatan]],Table2[Kecamatan],0))</f>
        <v>Ogan Ilir</v>
      </c>
      <c r="F24" s="53" t="str">
        <f>INDEX(Table2[Provinsi],MATCH(Table1110[[#This Row],[Kab/Kota]],Table2[Kabupaten/Kota],0))</f>
        <v>Sumatera Selatan</v>
      </c>
      <c r="G24" s="45" t="s">
        <v>199</v>
      </c>
      <c r="H24" s="60">
        <v>2</v>
      </c>
      <c r="J24" s="2" t="s">
        <v>82</v>
      </c>
      <c r="K24" s="2" t="str">
        <v>Kalidoni</v>
      </c>
      <c r="L24" s="2">
        <v>1</v>
      </c>
    </row>
    <row r="25" spans="2:12" ht="31" x14ac:dyDescent="0.35">
      <c r="B25" s="45">
        <f>IF(Table1110[[#This Row],[Kelurahan]]="","",ROW(I21))</f>
        <v>21</v>
      </c>
      <c r="C25" s="53" t="s">
        <v>244</v>
      </c>
      <c r="D25" s="53" t="str">
        <f>INDEX(Table2[Kecamatan],MATCH(Table1110[[#This Row],[Kelurahan]],Table2[Kelurahan],0))</f>
        <v>Indralaya Utara</v>
      </c>
      <c r="E25" s="53" t="str">
        <f>INDEX(Table2[Kabupaten/Kota],MATCH(Table1110[[#This Row],[Kecamatan]],Table2[Kecamatan],0))</f>
        <v>Ogan Ilir</v>
      </c>
      <c r="F25" s="53" t="str">
        <f>INDEX(Table2[Provinsi],MATCH(Table1110[[#This Row],[Kab/Kota]],Table2[Kabupaten/Kota],0))</f>
        <v>Sumatera Selatan</v>
      </c>
      <c r="G25" s="45" t="s">
        <v>199</v>
      </c>
      <c r="H25" s="60">
        <v>2</v>
      </c>
      <c r="J25" s="2" t="s">
        <v>82</v>
      </c>
      <c r="K25" s="2" t="str">
        <v>Karya Baru</v>
      </c>
      <c r="L25" s="2">
        <v>1</v>
      </c>
    </row>
    <row r="26" spans="2:12" ht="15.5" x14ac:dyDescent="0.35">
      <c r="B26" s="45">
        <f>IF(Table1110[[#This Row],[Kelurahan]]="","",ROW(I22))</f>
        <v>22</v>
      </c>
      <c r="C26" s="53" t="s">
        <v>104</v>
      </c>
      <c r="D26" s="53" t="str">
        <f>INDEX(Table2[Kecamatan],MATCH(Table1110[[#This Row],[Kelurahan]],Table2[Kelurahan],0))</f>
        <v>Plaju</v>
      </c>
      <c r="E26" s="53" t="str">
        <f>INDEX(Table2[Kabupaten/Kota],MATCH(Table1110[[#This Row],[Kecamatan]],Table2[Kecamatan],0))</f>
        <v>Palembang</v>
      </c>
      <c r="F26" s="53" t="str">
        <f>INDEX(Table2[Provinsi],MATCH(Table1110[[#This Row],[Kab/Kota]],Table2[Kabupaten/Kota],0))</f>
        <v>Sumatera Selatan</v>
      </c>
      <c r="G26" s="45" t="s">
        <v>199</v>
      </c>
      <c r="H26" s="60">
        <v>2</v>
      </c>
      <c r="J26" s="2" t="s">
        <v>82</v>
      </c>
      <c r="K26" s="2" t="str">
        <v>Karya Jaya</v>
      </c>
      <c r="L26" s="2">
        <v>23</v>
      </c>
    </row>
    <row r="27" spans="2:12" ht="15.5" x14ac:dyDescent="0.35">
      <c r="B27" s="45">
        <f>IF(Table1110[[#This Row],[Kelurahan]]="","",ROW(I23))</f>
        <v>23</v>
      </c>
      <c r="C27" s="53" t="s">
        <v>105</v>
      </c>
      <c r="D27" s="53" t="str">
        <f>INDEX(Table2[Kecamatan],MATCH(Table1110[[#This Row],[Kelurahan]],Table2[Kelurahan],0))</f>
        <v>Plaju</v>
      </c>
      <c r="E27" s="53" t="str">
        <f>INDEX(Table2[Kabupaten/Kota],MATCH(Table1110[[#This Row],[Kecamatan]],Table2[Kecamatan],0))</f>
        <v>Palembang</v>
      </c>
      <c r="F27" s="53" t="str">
        <f>INDEX(Table2[Provinsi],MATCH(Table1110[[#This Row],[Kab/Kota]],Table2[Kabupaten/Kota],0))</f>
        <v>Sumatera Selatan</v>
      </c>
      <c r="G27" s="45" t="s">
        <v>199</v>
      </c>
      <c r="H27" s="60">
        <v>2</v>
      </c>
      <c r="J27" s="2" t="s">
        <v>82</v>
      </c>
      <c r="K27" s="2" t="str">
        <v>Kebun Bunga</v>
      </c>
      <c r="L27" s="2">
        <v>1</v>
      </c>
    </row>
    <row r="28" spans="2:12" ht="31" x14ac:dyDescent="0.35">
      <c r="B28" s="45">
        <f>IF(Table1110[[#This Row],[Kelurahan]]="","",ROW(I24))</f>
        <v>24</v>
      </c>
      <c r="C28" s="53" t="s">
        <v>317</v>
      </c>
      <c r="D28" s="53" t="str">
        <f>INDEX(Table2[Kecamatan],MATCH(Table1110[[#This Row],[Kelurahan]],Table2[Kelurahan],0))</f>
        <v>Rantau</v>
      </c>
      <c r="E28" s="53" t="str">
        <f>INDEX(Table2[Kabupaten/Kota],MATCH(Table1110[[#This Row],[Kecamatan]],Table2[Kecamatan],0))</f>
        <v>Aceh Tamiang</v>
      </c>
      <c r="F28" s="53" t="str">
        <f>INDEX(Table2[Provinsi],MATCH(Table1110[[#This Row],[Kab/Kota]],Table2[Kabupaten/Kota],0))</f>
        <v>Nangroe Aceh Darussalam</v>
      </c>
      <c r="G28" s="45" t="s">
        <v>199</v>
      </c>
      <c r="H28" s="60">
        <v>2</v>
      </c>
      <c r="J28" s="2" t="s">
        <v>82</v>
      </c>
      <c r="K28" s="2" t="str">
        <v>Kemang Agung</v>
      </c>
      <c r="L28" s="2">
        <v>3</v>
      </c>
    </row>
    <row r="29" spans="2:12" ht="31" x14ac:dyDescent="0.35">
      <c r="B29" s="45">
        <f>IF(Table1110[[#This Row],[Kelurahan]]="","",ROW(I25))</f>
        <v>25</v>
      </c>
      <c r="C29" s="53" t="s">
        <v>314</v>
      </c>
      <c r="D29" s="53" t="str">
        <f>INDEX(Table2[Kecamatan],MATCH(Table1110[[#This Row],[Kelurahan]],Table2[Kelurahan],0))</f>
        <v>Rantau</v>
      </c>
      <c r="E29" s="53" t="str">
        <f>INDEX(Table2[Kabupaten/Kota],MATCH(Table1110[[#This Row],[Kecamatan]],Table2[Kecamatan],0))</f>
        <v>Aceh Tamiang</v>
      </c>
      <c r="F29" s="53" t="str">
        <f>INDEX(Table2[Provinsi],MATCH(Table1110[[#This Row],[Kab/Kota]],Table2[Kabupaten/Kota],0))</f>
        <v>Nangroe Aceh Darussalam</v>
      </c>
      <c r="G29" s="45" t="s">
        <v>199</v>
      </c>
      <c r="H29" s="60">
        <v>2</v>
      </c>
      <c r="J29" s="2" t="s">
        <v>82</v>
      </c>
      <c r="K29" s="2" t="str">
        <v>Kemas Rindo</v>
      </c>
      <c r="L29" s="2">
        <v>1</v>
      </c>
    </row>
    <row r="30" spans="2:12" ht="31" x14ac:dyDescent="0.35">
      <c r="B30" s="45">
        <f>IF(Table1110[[#This Row],[Kelurahan]]="","",ROW(I26))</f>
        <v>26</v>
      </c>
      <c r="C30" s="53" t="s">
        <v>135</v>
      </c>
      <c r="D30" s="53" t="str">
        <f>INDEX(Table2[Kecamatan],MATCH(Table1110[[#This Row],[Kelurahan]],Table2[Kelurahan],0))</f>
        <v>Sukarami</v>
      </c>
      <c r="E30" s="53" t="str">
        <f>INDEX(Table2[Kabupaten/Kota],MATCH(Table1110[[#This Row],[Kecamatan]],Table2[Kecamatan],0))</f>
        <v>Palembang</v>
      </c>
      <c r="F30" s="53" t="str">
        <f>INDEX(Table2[Provinsi],MATCH(Table1110[[#This Row],[Kab/Kota]],Table2[Kabupaten/Kota],0))</f>
        <v>Sumatera Selatan</v>
      </c>
      <c r="G30" s="45" t="s">
        <v>199</v>
      </c>
      <c r="H30" s="60">
        <v>2</v>
      </c>
      <c r="J30" s="2" t="s">
        <v>82</v>
      </c>
      <c r="K30" s="2" t="str">
        <v>Kenten Laut</v>
      </c>
      <c r="L30" s="2">
        <v>3</v>
      </c>
    </row>
    <row r="31" spans="2:12" ht="31" x14ac:dyDescent="0.35">
      <c r="B31" s="45">
        <f>IF(Table1110[[#This Row],[Kelurahan]]="","",ROW(I27))</f>
        <v>27</v>
      </c>
      <c r="C31" s="53" t="s">
        <v>33</v>
      </c>
      <c r="D31" s="53" t="str">
        <f>INDEX(Table2[Kecamatan],MATCH(Table1110[[#This Row],[Kelurahan]],Table2[Kelurahan],0))</f>
        <v>Alang-Alang Lebar</v>
      </c>
      <c r="E31" s="53" t="str">
        <f>INDEX(Table2[Kabupaten/Kota],MATCH(Table1110[[#This Row],[Kecamatan]],Table2[Kecamatan],0))</f>
        <v>Palembang</v>
      </c>
      <c r="F31" s="53" t="str">
        <f>INDEX(Table2[Provinsi],MATCH(Table1110[[#This Row],[Kab/Kota]],Table2[Kabupaten/Kota],0))</f>
        <v>Sumatera Selatan</v>
      </c>
      <c r="G31" s="45" t="s">
        <v>199</v>
      </c>
      <c r="H31" s="60">
        <v>1</v>
      </c>
      <c r="J31" s="2" t="s">
        <v>82</v>
      </c>
      <c r="K31" s="2" t="str">
        <v>Keramasan</v>
      </c>
      <c r="L31" s="2">
        <v>48</v>
      </c>
    </row>
    <row r="32" spans="2:12" ht="31" x14ac:dyDescent="0.35">
      <c r="B32" s="45">
        <f>IF(Table1110[[#This Row],[Kelurahan]]="","",ROW(I28))</f>
        <v>28</v>
      </c>
      <c r="C32" s="53" t="s">
        <v>34</v>
      </c>
      <c r="D32" s="53" t="str">
        <f>INDEX(Table2[Kecamatan],MATCH(Table1110[[#This Row],[Kelurahan]],Table2[Kelurahan],0))</f>
        <v>Alang-Alang Lebar</v>
      </c>
      <c r="E32" s="53" t="str">
        <f>INDEX(Table2[Kabupaten/Kota],MATCH(Table1110[[#This Row],[Kecamatan]],Table2[Kecamatan],0))</f>
        <v>Palembang</v>
      </c>
      <c r="F32" s="53" t="str">
        <f>INDEX(Table2[Provinsi],MATCH(Table1110[[#This Row],[Kab/Kota]],Table2[Kabupaten/Kota],0))</f>
        <v>Sumatera Selatan</v>
      </c>
      <c r="G32" s="45" t="s">
        <v>199</v>
      </c>
      <c r="H32" s="60">
        <v>1</v>
      </c>
      <c r="J32" s="2" t="s">
        <v>82</v>
      </c>
      <c r="K32" s="2" t="str">
        <v>Kertapati</v>
      </c>
      <c r="L32" s="2">
        <v>1</v>
      </c>
    </row>
    <row r="33" spans="2:12" ht="15.5" x14ac:dyDescent="0.35">
      <c r="B33" s="45">
        <f>IF(Table1110[[#This Row],[Kelurahan]]="","",ROW(I29))</f>
        <v>29</v>
      </c>
      <c r="C33" s="53" t="s">
        <v>38</v>
      </c>
      <c r="D33" s="53" t="str">
        <f>INDEX(Table2[Kecamatan],MATCH(Table1110[[#This Row],[Kelurahan]],Table2[Kelurahan],0))</f>
        <v>Bukit Kecil</v>
      </c>
      <c r="E33" s="53" t="str">
        <f>INDEX(Table2[Kabupaten/Kota],MATCH(Table1110[[#This Row],[Kecamatan]],Table2[Kecamatan],0))</f>
        <v>Palembang</v>
      </c>
      <c r="F33" s="53" t="str">
        <f>INDEX(Table2[Provinsi],MATCH(Table1110[[#This Row],[Kab/Kota]],Table2[Kabupaten/Kota],0))</f>
        <v>Sumatera Selatan</v>
      </c>
      <c r="G33" s="45" t="s">
        <v>199</v>
      </c>
      <c r="H33" s="60">
        <v>1</v>
      </c>
      <c r="J33" s="2" t="s">
        <v>82</v>
      </c>
      <c r="K33" s="2" t="str">
        <v>Lorok Pakjo</v>
      </c>
      <c r="L33" s="2">
        <v>7</v>
      </c>
    </row>
    <row r="34" spans="2:12" ht="15.5" x14ac:dyDescent="0.35">
      <c r="B34" s="45">
        <f>IF(Table1110[[#This Row],[Kelurahan]]="","",ROW(I30))</f>
        <v>30</v>
      </c>
      <c r="C34" s="53" t="s">
        <v>42</v>
      </c>
      <c r="D34" s="53" t="str">
        <f>INDEX(Table2[Kecamatan],MATCH(Table1110[[#This Row],[Kelurahan]],Table2[Kelurahan],0))</f>
        <v>Gandus</v>
      </c>
      <c r="E34" s="53" t="str">
        <f>INDEX(Table2[Kabupaten/Kota],MATCH(Table1110[[#This Row],[Kecamatan]],Table2[Kecamatan],0))</f>
        <v>Palembang</v>
      </c>
      <c r="F34" s="53" t="str">
        <f>INDEX(Table2[Provinsi],MATCH(Table1110[[#This Row],[Kab/Kota]],Table2[Kabupaten/Kota],0))</f>
        <v>Sumatera Selatan</v>
      </c>
      <c r="G34" s="45" t="s">
        <v>199</v>
      </c>
      <c r="H34" s="60">
        <v>1</v>
      </c>
      <c r="J34" s="2" t="s">
        <v>82</v>
      </c>
      <c r="K34" s="2" t="str">
        <v>Mekarjaya</v>
      </c>
      <c r="L34" s="2">
        <v>2</v>
      </c>
    </row>
    <row r="35" spans="2:12" ht="15.5" x14ac:dyDescent="0.35">
      <c r="B35" s="45">
        <f>IF(Table1110[[#This Row],[Kelurahan]]="","",ROW(I31))</f>
        <v>31</v>
      </c>
      <c r="C35" s="53" t="s">
        <v>46</v>
      </c>
      <c r="D35" s="53" t="str">
        <f>INDEX(Table2[Kecamatan],MATCH(Table1110[[#This Row],[Kelurahan]],Table2[Kelurahan],0))</f>
        <v>Ilir Barat I</v>
      </c>
      <c r="E35" s="53" t="str">
        <f>INDEX(Table2[Kabupaten/Kota],MATCH(Table1110[[#This Row],[Kecamatan]],Table2[Kecamatan],0))</f>
        <v>Palembang</v>
      </c>
      <c r="F35" s="53" t="str">
        <f>INDEX(Table2[Provinsi],MATCH(Table1110[[#This Row],[Kab/Kota]],Table2[Kabupaten/Kota],0))</f>
        <v>Sumatera Selatan</v>
      </c>
      <c r="G35" s="45" t="s">
        <v>199</v>
      </c>
      <c r="H35" s="60">
        <v>1</v>
      </c>
      <c r="J35" s="2" t="s">
        <v>82</v>
      </c>
      <c r="K35" s="2" t="str">
        <v>Muara Penimbung Ilir</v>
      </c>
      <c r="L35" s="2">
        <v>1</v>
      </c>
    </row>
    <row r="36" spans="2:12" ht="15.5" x14ac:dyDescent="0.35">
      <c r="B36" s="45">
        <f>IF(Table1110[[#This Row],[Kelurahan]]="","",ROW(I32))</f>
        <v>32</v>
      </c>
      <c r="C36" s="53" t="s">
        <v>61</v>
      </c>
      <c r="D36" s="53" t="str">
        <f>INDEX(Table2[Kecamatan],MATCH(Table1110[[#This Row],[Kelurahan]],Table2[Kelurahan],0))</f>
        <v>Ilir Timur I</v>
      </c>
      <c r="E36" s="53" t="str">
        <f>INDEX(Table2[Kabupaten/Kota],MATCH(Table1110[[#This Row],[Kecamatan]],Table2[Kecamatan],0))</f>
        <v>Palembang</v>
      </c>
      <c r="F36" s="53" t="str">
        <f>INDEX(Table2[Provinsi],MATCH(Table1110[[#This Row],[Kab/Kota]],Table2[Kabupaten/Kota],0))</f>
        <v>Sumatera Selatan</v>
      </c>
      <c r="G36" s="45" t="s">
        <v>199</v>
      </c>
      <c r="H36" s="60">
        <v>1</v>
      </c>
      <c r="J36" s="2" t="s">
        <v>82</v>
      </c>
      <c r="K36" s="2" t="str">
        <v>Plaju Darat</v>
      </c>
      <c r="L36" s="2">
        <v>2</v>
      </c>
    </row>
    <row r="37" spans="2:12" ht="15.5" x14ac:dyDescent="0.35">
      <c r="B37" s="45">
        <f>IF(Table1110[[#This Row],[Kelurahan]]="","",ROW(I33))</f>
        <v>33</v>
      </c>
      <c r="C37" s="53" t="s">
        <v>77</v>
      </c>
      <c r="D37" s="53" t="str">
        <f>INDEX(Table2[Kecamatan],MATCH(Table1110[[#This Row],[Kelurahan]],Table2[Kelurahan],0))</f>
        <v>Ilir Timur III</v>
      </c>
      <c r="E37" s="53" t="str">
        <f>INDEX(Table2[Kabupaten/Kota],MATCH(Table1110[[#This Row],[Kecamatan]],Table2[Kecamatan],0))</f>
        <v>Palembang</v>
      </c>
      <c r="F37" s="53" t="str">
        <f>INDEX(Table2[Provinsi],MATCH(Table1110[[#This Row],[Kab/Kota]],Table2[Kabupaten/Kota],0))</f>
        <v>Sumatera Selatan</v>
      </c>
      <c r="G37" s="45" t="s">
        <v>199</v>
      </c>
      <c r="H37" s="60">
        <v>1</v>
      </c>
      <c r="J37" s="2" t="s">
        <v>317</v>
      </c>
      <c r="K37" s="2" t="str">
        <v>Plaju Ilir</v>
      </c>
      <c r="L37" s="2">
        <v>2</v>
      </c>
    </row>
    <row r="38" spans="2:12" ht="31" x14ac:dyDescent="0.35">
      <c r="B38" s="45">
        <f>IF(Table1110[[#This Row],[Kelurahan]]="","",ROW(I34))</f>
        <v>34</v>
      </c>
      <c r="C38" s="53" t="s">
        <v>429</v>
      </c>
      <c r="D38" s="53" t="str">
        <f>INDEX(Table2[Kecamatan],MATCH(Table1110[[#This Row],[Kelurahan]],Table2[Kelurahan],0))</f>
        <v>Indralaya</v>
      </c>
      <c r="E38" s="53" t="str">
        <f>INDEX(Table2[Kabupaten/Kota],MATCH(Table1110[[#This Row],[Kecamatan]],Table2[Kecamatan],0))</f>
        <v>Ogan Ilir</v>
      </c>
      <c r="F38" s="53" t="str">
        <f>INDEX(Table2[Provinsi],MATCH(Table1110[[#This Row],[Kab/Kota]],Table2[Kabupaten/Kota],0))</f>
        <v>Sumatera Selatan</v>
      </c>
      <c r="G38" s="45" t="s">
        <v>199</v>
      </c>
      <c r="H38" s="60">
        <v>1</v>
      </c>
      <c r="J38" s="2" t="s">
        <v>317</v>
      </c>
      <c r="K38" s="2" t="str">
        <v>Sakatiga</v>
      </c>
      <c r="L38" s="2">
        <v>2</v>
      </c>
    </row>
    <row r="39" spans="2:12" ht="46.5" x14ac:dyDescent="0.35">
      <c r="B39" s="45">
        <f>IF(Table1110[[#This Row],[Kelurahan]]="","",ROW(I35))</f>
        <v>35</v>
      </c>
      <c r="C39" s="53" t="s">
        <v>386</v>
      </c>
      <c r="D39" s="53" t="str">
        <f>INDEX(Table2[Kecamatan],MATCH(Table1110[[#This Row],[Kelurahan]],Table2[Kelurahan],0))</f>
        <v>Indralaya</v>
      </c>
      <c r="E39" s="53" t="str">
        <f>INDEX(Table2[Kabupaten/Kota],MATCH(Table1110[[#This Row],[Kecamatan]],Table2[Kecamatan],0))</f>
        <v>Ogan Ilir</v>
      </c>
      <c r="F39" s="53" t="str">
        <f>INDEX(Table2[Provinsi],MATCH(Table1110[[#This Row],[Kab/Kota]],Table2[Kabupaten/Kota],0))</f>
        <v>Sumatera Selatan</v>
      </c>
      <c r="G39" s="45" t="s">
        <v>199</v>
      </c>
      <c r="H39" s="60">
        <v>1</v>
      </c>
      <c r="J39" s="2" t="s">
        <v>91</v>
      </c>
      <c r="K39" s="2" t="str">
        <v>Sei Selayur</v>
      </c>
      <c r="L39" s="2">
        <v>1</v>
      </c>
    </row>
    <row r="40" spans="2:12" ht="15.5" x14ac:dyDescent="0.35">
      <c r="B40" s="45">
        <f>IF(Table1110[[#This Row],[Kelurahan]]="","",ROW(I36))</f>
        <v>36</v>
      </c>
      <c r="C40" s="53" t="s">
        <v>537</v>
      </c>
      <c r="D40" s="53" t="str">
        <f>INDEX(Table2[Kecamatan],MATCH(Table1110[[#This Row],[Kelurahan]],Table2[Kelurahan],0))</f>
        <v>Indralaya</v>
      </c>
      <c r="E40" s="53" t="str">
        <f>INDEX(Table2[Kabupaten/Kota],MATCH(Table1110[[#This Row],[Kecamatan]],Table2[Kecamatan],0))</f>
        <v>Ogan Ilir</v>
      </c>
      <c r="F40" s="53" t="str">
        <f>INDEX(Table2[Provinsi],MATCH(Table1110[[#This Row],[Kab/Kota]],Table2[Kabupaten/Kota],0))</f>
        <v>Sumatera Selatan</v>
      </c>
      <c r="G40" s="45" t="s">
        <v>199</v>
      </c>
      <c r="H40" s="60">
        <v>1</v>
      </c>
      <c r="J40" s="2" t="s">
        <v>91</v>
      </c>
      <c r="K40" s="2" t="str">
        <v>Sekerak Kanan</v>
      </c>
      <c r="L40" s="2">
        <v>1</v>
      </c>
    </row>
    <row r="41" spans="2:12" ht="15.5" x14ac:dyDescent="0.35">
      <c r="B41" s="45">
        <f>IF(Table1110[[#This Row],[Kelurahan]]="","",ROW(I37))</f>
        <v>37</v>
      </c>
      <c r="C41" s="53" t="s">
        <v>83</v>
      </c>
      <c r="D41" s="53" t="str">
        <f>INDEX(Table2[Kecamatan],MATCH(Table1110[[#This Row],[Kelurahan]],Table2[Kelurahan],0))</f>
        <v>Jakabaring</v>
      </c>
      <c r="E41" s="53" t="str">
        <f>INDEX(Table2[Kabupaten/Kota],MATCH(Table1110[[#This Row],[Kecamatan]],Table2[Kecamatan],0))</f>
        <v>Palembang</v>
      </c>
      <c r="F41" s="53" t="str">
        <f>INDEX(Table2[Provinsi],MATCH(Table1110[[#This Row],[Kab/Kota]],Table2[Kabupaten/Kota],0))</f>
        <v>Sumatera Selatan</v>
      </c>
      <c r="G41" s="45" t="s">
        <v>199</v>
      </c>
      <c r="H41" s="60">
        <v>1</v>
      </c>
      <c r="J41" s="2" t="s">
        <v>91</v>
      </c>
      <c r="K41" s="2" t="str">
        <v>Sialang</v>
      </c>
      <c r="L41" s="2">
        <v>1</v>
      </c>
    </row>
    <row r="42" spans="2:12" ht="15.5" x14ac:dyDescent="0.35">
      <c r="B42" s="45">
        <f>IF(Table1110[[#This Row],[Kelurahan]]="","",ROW(I38))</f>
        <v>38</v>
      </c>
      <c r="C42" s="53" t="s">
        <v>84</v>
      </c>
      <c r="D42" s="53" t="str">
        <f>INDEX(Table2[Kecamatan],MATCH(Table1110[[#This Row],[Kelurahan]],Table2[Kelurahan],0))</f>
        <v>Jakabaring</v>
      </c>
      <c r="E42" s="53" t="str">
        <f>INDEX(Table2[Kabupaten/Kota],MATCH(Table1110[[#This Row],[Kecamatan]],Table2[Kecamatan],0))</f>
        <v>Palembang</v>
      </c>
      <c r="F42" s="53" t="str">
        <f>INDEX(Table2[Provinsi],MATCH(Table1110[[#This Row],[Kab/Kota]],Table2[Kabupaten/Kota],0))</f>
        <v>Sumatera Selatan</v>
      </c>
      <c r="G42" s="45" t="s">
        <v>199</v>
      </c>
      <c r="H42" s="60">
        <v>1</v>
      </c>
      <c r="J42" s="2" t="s">
        <v>91</v>
      </c>
      <c r="K42" s="2" t="str">
        <v>Silaberanti</v>
      </c>
      <c r="L42" s="2">
        <v>1</v>
      </c>
    </row>
    <row r="43" spans="2:12" ht="15.5" x14ac:dyDescent="0.35">
      <c r="B43" s="45">
        <f>IF(Table1110[[#This Row],[Kelurahan]]="","",ROW(I39))</f>
        <v>39</v>
      </c>
      <c r="C43" s="53" t="s">
        <v>87</v>
      </c>
      <c r="D43" s="53" t="str">
        <f>INDEX(Table2[Kecamatan],MATCH(Table1110[[#This Row],[Kelurahan]],Table2[Kelurahan],0))</f>
        <v>Kalidoni</v>
      </c>
      <c r="E43" s="53" t="str">
        <f>INDEX(Table2[Kabupaten/Kota],MATCH(Table1110[[#This Row],[Kecamatan]],Table2[Kecamatan],0))</f>
        <v>Banyuasin</v>
      </c>
      <c r="F43" s="53" t="str">
        <f>INDEX(Table2[Provinsi],MATCH(Table1110[[#This Row],[Kab/Kota]],Table2[Kabupaten/Kota],0))</f>
        <v>Sumatera Selatan</v>
      </c>
      <c r="G43" s="45" t="s">
        <v>199</v>
      </c>
      <c r="H43" s="60">
        <v>1</v>
      </c>
      <c r="J43" s="2" t="s">
        <v>296</v>
      </c>
      <c r="K43" s="2" t="str">
        <v>Srijaya</v>
      </c>
      <c r="L43" s="2">
        <v>1</v>
      </c>
    </row>
    <row r="44" spans="2:12" ht="15.5" x14ac:dyDescent="0.35">
      <c r="B44" s="45">
        <f>IF(Table1110[[#This Row],[Kelurahan]]="","",ROW(I40))</f>
        <v>40</v>
      </c>
      <c r="C44" s="53" t="s">
        <v>89</v>
      </c>
      <c r="D44" s="53" t="str">
        <f>INDEX(Table2[Kecamatan],MATCH(Table1110[[#This Row],[Kelurahan]],Table2[Kelurahan],0))</f>
        <v>Kalidoni</v>
      </c>
      <c r="E44" s="53" t="str">
        <f>INDEX(Table2[Kabupaten/Kota],MATCH(Table1110[[#This Row],[Kecamatan]],Table2[Kecamatan],0))</f>
        <v>Banyuasin</v>
      </c>
      <c r="F44" s="53" t="str">
        <f>INDEX(Table2[Provinsi],MATCH(Table1110[[#This Row],[Kab/Kota]],Table2[Kabupaten/Kota],0))</f>
        <v>Sumatera Selatan</v>
      </c>
      <c r="G44" s="45" t="s">
        <v>199</v>
      </c>
      <c r="H44" s="60">
        <v>1</v>
      </c>
      <c r="J44" s="2" t="s">
        <v>296</v>
      </c>
      <c r="K44" s="2" t="str">
        <v>Sukamaju</v>
      </c>
      <c r="L44" s="2">
        <v>1</v>
      </c>
    </row>
    <row r="45" spans="2:12" ht="31" x14ac:dyDescent="0.35">
      <c r="B45" s="45">
        <f>IF(Table1110[[#This Row],[Kelurahan]]="","",ROW(I41))</f>
        <v>41</v>
      </c>
      <c r="C45" s="53" t="s">
        <v>98</v>
      </c>
      <c r="D45" s="53" t="str">
        <f>INDEX(Table2[Kecamatan],MATCH(Table1110[[#This Row],[Kelurahan]],Table2[Kelurahan],0))</f>
        <v>Kertapati</v>
      </c>
      <c r="E45" s="53" t="str">
        <f>INDEX(Table2[Kabupaten/Kota],MATCH(Table1110[[#This Row],[Kecamatan]],Table2[Kecamatan],0))</f>
        <v>Palembang</v>
      </c>
      <c r="F45" s="53" t="str">
        <f>INDEX(Table2[Provinsi],MATCH(Table1110[[#This Row],[Kab/Kota]],Table2[Kabupaten/Kota],0))</f>
        <v>Sumatera Selatan</v>
      </c>
      <c r="G45" s="45" t="s">
        <v>199</v>
      </c>
      <c r="H45" s="60">
        <v>1</v>
      </c>
      <c r="J45" s="2" t="s">
        <v>46</v>
      </c>
      <c r="K45" s="2" t="str">
        <v>Sungai Kedukan</v>
      </c>
      <c r="L45" s="2">
        <v>1</v>
      </c>
    </row>
    <row r="46" spans="2:12" ht="15.5" x14ac:dyDescent="0.35">
      <c r="B46" s="45">
        <f>IF(Table1110[[#This Row],[Kelurahan]]="","",ROW(I42))</f>
        <v>42</v>
      </c>
      <c r="C46" s="53" t="s">
        <v>100</v>
      </c>
      <c r="D46" s="53" t="str">
        <f>INDEX(Table2[Kecamatan],MATCH(Table1110[[#This Row],[Kelurahan]],Table2[Kelurahan],0))</f>
        <v>Kertapati</v>
      </c>
      <c r="E46" s="53" t="str">
        <f>INDEX(Table2[Kabupaten/Kota],MATCH(Table1110[[#This Row],[Kecamatan]],Table2[Kecamatan],0))</f>
        <v>Palembang</v>
      </c>
      <c r="F46" s="53" t="str">
        <f>INDEX(Table2[Provinsi],MATCH(Table1110[[#This Row],[Kab/Kota]],Table2[Kabupaten/Kota],0))</f>
        <v>Sumatera Selatan</v>
      </c>
      <c r="G46" s="45" t="s">
        <v>199</v>
      </c>
      <c r="H46" s="60">
        <v>1</v>
      </c>
      <c r="J46" s="2" t="s">
        <v>47</v>
      </c>
      <c r="K46" s="2" t="str">
        <v>Sungai Pangeran</v>
      </c>
      <c r="L46" s="2">
        <v>2</v>
      </c>
    </row>
    <row r="47" spans="2:12" ht="31" x14ac:dyDescent="0.35">
      <c r="B47" s="45">
        <f>IF(Table1110[[#This Row],[Kelurahan]]="","",ROW(I43))</f>
        <v>43</v>
      </c>
      <c r="C47" s="53" t="s">
        <v>305</v>
      </c>
      <c r="D47" s="53" t="str">
        <f>INDEX(Table2[Kecamatan],MATCH(Table1110[[#This Row],[Kelurahan]],Table2[Kelurahan],0))</f>
        <v>Payaraman</v>
      </c>
      <c r="E47" s="53" t="str">
        <f>INDEX(Table2[Kabupaten/Kota],MATCH(Table1110[[#This Row],[Kecamatan]],Table2[Kecamatan],0))</f>
        <v>Ogan Ilir</v>
      </c>
      <c r="F47" s="53" t="str">
        <f>INDEX(Table2[Provinsi],MATCH(Table1110[[#This Row],[Kab/Kota]],Table2[Kabupaten/Kota],0))</f>
        <v>Sumatera Selatan</v>
      </c>
      <c r="G47" s="45" t="s">
        <v>199</v>
      </c>
      <c r="H47" s="60">
        <v>1</v>
      </c>
      <c r="J47" s="2" t="s">
        <v>47</v>
      </c>
      <c r="K47" s="2" t="str">
        <v>Talang Aur</v>
      </c>
      <c r="L47" s="2">
        <v>3</v>
      </c>
    </row>
    <row r="48" spans="2:12" ht="31" x14ac:dyDescent="0.35">
      <c r="B48" s="45">
        <f>IF(Table1110[[#This Row],[Kelurahan]]="","",ROW(I44))</f>
        <v>44</v>
      </c>
      <c r="C48" s="53" t="s">
        <v>394</v>
      </c>
      <c r="D48" s="53" t="str">
        <f>INDEX(Table2[Kecamatan],MATCH(Table1110[[#This Row],[Kelurahan]],Table2[Kelurahan],0))</f>
        <v>Rambutan</v>
      </c>
      <c r="E48" s="53" t="str">
        <f>INDEX(Table2[Kabupaten/Kota],MATCH(Table1110[[#This Row],[Kecamatan]],Table2[Kecamatan],0))</f>
        <v>Banyuasin</v>
      </c>
      <c r="F48" s="53" t="str">
        <f>INDEX(Table2[Provinsi],MATCH(Table1110[[#This Row],[Kab/Kota]],Table2[Kabupaten/Kota],0))</f>
        <v>Sumatera Selatan</v>
      </c>
      <c r="G48" s="45" t="s">
        <v>199</v>
      </c>
      <c r="H48" s="60">
        <v>1</v>
      </c>
      <c r="J48" s="2" t="s">
        <v>47</v>
      </c>
      <c r="K48" s="2" t="str">
        <v>Talang Jambe</v>
      </c>
      <c r="L48" s="2">
        <v>2</v>
      </c>
    </row>
    <row r="49" spans="2:12" ht="15.5" x14ac:dyDescent="0.35">
      <c r="B49" s="45">
        <f>IF(Table1110[[#This Row],[Kelurahan]]="","",ROW(I45))</f>
        <v>45</v>
      </c>
      <c r="C49" s="53" t="s">
        <v>111</v>
      </c>
      <c r="D49" s="53" t="str">
        <f>INDEX(Table2[Kecamatan],MATCH(Table1110[[#This Row],[Kelurahan]],Table2[Kelurahan],0))</f>
        <v>Sako</v>
      </c>
      <c r="E49" s="53" t="str">
        <f>INDEX(Table2[Kabupaten/Kota],MATCH(Table1110[[#This Row],[Kecamatan]],Table2[Kecamatan],0))</f>
        <v>Palembang</v>
      </c>
      <c r="F49" s="53" t="str">
        <f>INDEX(Table2[Provinsi],MATCH(Table1110[[#This Row],[Kab/Kota]],Table2[Kabupaten/Kota],0))</f>
        <v>Sumatera Selatan</v>
      </c>
      <c r="G49" s="45" t="s">
        <v>199</v>
      </c>
      <c r="H49" s="60">
        <v>1</v>
      </c>
      <c r="J49" s="2" t="s">
        <v>47</v>
      </c>
      <c r="K49" s="2" t="str">
        <v>Talang Seleman</v>
      </c>
      <c r="L49" s="2">
        <v>1</v>
      </c>
    </row>
    <row r="50" spans="2:12" ht="15.5" x14ac:dyDescent="0.35">
      <c r="B50" s="45">
        <f>IF(Table1110[[#This Row],[Kelurahan]]="","",ROW(I46))</f>
        <v>46</v>
      </c>
      <c r="C50" s="53" t="s">
        <v>112</v>
      </c>
      <c r="D50" s="53" t="str">
        <f>INDEX(Table2[Kecamatan],MATCH(Table1110[[#This Row],[Kelurahan]],Table2[Kelurahan],0))</f>
        <v>Sako</v>
      </c>
      <c r="E50" s="53" t="str">
        <f>INDEX(Table2[Kabupaten/Kota],MATCH(Table1110[[#This Row],[Kecamatan]],Table2[Kecamatan],0))</f>
        <v>Palembang</v>
      </c>
      <c r="F50" s="53" t="str">
        <f>INDEX(Table2[Provinsi],MATCH(Table1110[[#This Row],[Kab/Kota]],Table2[Kabupaten/Kota],0))</f>
        <v>Sumatera Selatan</v>
      </c>
      <c r="G50" s="45" t="s">
        <v>199</v>
      </c>
      <c r="H50" s="60">
        <v>1</v>
      </c>
      <c r="J50" s="2" t="s">
        <v>47</v>
      </c>
      <c r="K50" s="2" t="str">
        <v>Talang Semut</v>
      </c>
      <c r="L50" s="2">
        <v>3</v>
      </c>
    </row>
    <row r="51" spans="2:12" ht="31" x14ac:dyDescent="0.35">
      <c r="B51" s="45">
        <f>IF(Table1110[[#This Row],[Kelurahan]]="","",ROW(I47))</f>
        <v>47</v>
      </c>
      <c r="C51" s="53" t="s">
        <v>119</v>
      </c>
      <c r="D51" s="53" t="str">
        <f>INDEX(Table2[Kecamatan],MATCH(Table1110[[#This Row],[Kelurahan]],Table2[Kelurahan],0))</f>
        <v>Seberang Ulu II</v>
      </c>
      <c r="E51" s="53" t="str">
        <f>INDEX(Table2[Kabupaten/Kota],MATCH(Table1110[[#This Row],[Kecamatan]],Table2[Kecamatan],0))</f>
        <v>Palembang</v>
      </c>
      <c r="F51" s="53" t="str">
        <f>INDEX(Table2[Provinsi],MATCH(Table1110[[#This Row],[Kab/Kota]],Table2[Kabupaten/Kota],0))</f>
        <v>Sumatera Selatan</v>
      </c>
      <c r="G51" s="45" t="s">
        <v>199</v>
      </c>
      <c r="H51" s="60">
        <v>1</v>
      </c>
      <c r="J51" s="2" t="s">
        <v>47</v>
      </c>
      <c r="K51" s="2" t="str">
        <v>Tanjung Mancang</v>
      </c>
      <c r="L51" s="2">
        <v>10</v>
      </c>
    </row>
    <row r="52" spans="2:12" ht="31" x14ac:dyDescent="0.35">
      <c r="B52" s="45">
        <f>IF(Table1110[[#This Row],[Kelurahan]]="","",ROW(I48))</f>
        <v>48</v>
      </c>
      <c r="C52" s="53" t="s">
        <v>122</v>
      </c>
      <c r="D52" s="53" t="str">
        <f>INDEX(Table2[Kecamatan],MATCH(Table1110[[#This Row],[Kelurahan]],Table2[Kelurahan],0))</f>
        <v>Seberang Ulu II</v>
      </c>
      <c r="E52" s="53" t="str">
        <f>INDEX(Table2[Kabupaten/Kota],MATCH(Table1110[[#This Row],[Kecamatan]],Table2[Kecamatan],0))</f>
        <v>Palembang</v>
      </c>
      <c r="F52" s="53" t="str">
        <f>INDEX(Table2[Provinsi],MATCH(Table1110[[#This Row],[Kab/Kota]],Table2[Kabupaten/Kota],0))</f>
        <v>Sumatera Selatan</v>
      </c>
      <c r="G52" s="45" t="s">
        <v>199</v>
      </c>
      <c r="H52" s="60">
        <v>1</v>
      </c>
      <c r="J52" s="2" t="s">
        <v>47</v>
      </c>
      <c r="K52" s="2" t="str">
        <v>Tanjung Seteko</v>
      </c>
      <c r="L52" s="2">
        <v>2</v>
      </c>
    </row>
    <row r="53" spans="2:12" ht="31" x14ac:dyDescent="0.35">
      <c r="B53" s="45">
        <f>IF(Table1110[[#This Row],[Kelurahan]]="","",ROW(I49))</f>
        <v>49</v>
      </c>
      <c r="C53" s="53" t="s">
        <v>362</v>
      </c>
      <c r="D53" s="53" t="str">
        <f>INDEX(Table2[Kecamatan],MATCH(Table1110[[#This Row],[Kelurahan]],Table2[Kelurahan],0))</f>
        <v>Sekerak</v>
      </c>
      <c r="E53" s="53" t="str">
        <f>INDEX(Table2[Kabupaten/Kota],MATCH(Table1110[[#This Row],[Kecamatan]],Table2[Kecamatan],0))</f>
        <v>Aceh Tamiang</v>
      </c>
      <c r="F53" s="53" t="str">
        <f>INDEX(Table2[Provinsi],MATCH(Table1110[[#This Row],[Kab/Kota]],Table2[Kabupaten/Kota],0))</f>
        <v>Nangroe Aceh Darussalam</v>
      </c>
      <c r="G53" s="45" t="s">
        <v>199</v>
      </c>
      <c r="H53" s="60">
        <v>1</v>
      </c>
      <c r="J53" s="2" t="s">
        <v>47</v>
      </c>
      <c r="K53" s="2" t="str">
        <v>Timbangan</v>
      </c>
      <c r="L53" s="2">
        <v>2</v>
      </c>
    </row>
    <row r="54" spans="2:12" ht="31" x14ac:dyDescent="0.35">
      <c r="B54" s="45">
        <f>IF(Table1110[[#This Row],[Kelurahan]]="","",ROW(I50))</f>
        <v>50</v>
      </c>
      <c r="C54" s="53" t="s">
        <v>129</v>
      </c>
      <c r="D54" s="53" t="str">
        <f>INDEX(Table2[Kecamatan],MATCH(Table1110[[#This Row],[Kelurahan]],Table2[Kelurahan],0))</f>
        <v>Sukarami</v>
      </c>
      <c r="E54" s="53" t="str">
        <f>INDEX(Table2[Kabupaten/Kota],MATCH(Table1110[[#This Row],[Kecamatan]],Table2[Kecamatan],0))</f>
        <v>Palembang</v>
      </c>
      <c r="F54" s="53" t="str">
        <f>INDEX(Table2[Provinsi],MATCH(Table1110[[#This Row],[Kab/Kota]],Table2[Kabupaten/Kota],0))</f>
        <v>Sumatera Selatan</v>
      </c>
      <c r="G54" s="45" t="s">
        <v>199</v>
      </c>
      <c r="H54" s="60">
        <v>1</v>
      </c>
      <c r="J54" s="2" t="s">
        <v>47</v>
      </c>
      <c r="K54" s="2" t="str">
        <v>Ulak bedil</v>
      </c>
      <c r="L54" s="2">
        <v>1</v>
      </c>
    </row>
    <row r="55" spans="2:12" x14ac:dyDescent="0.35">
      <c r="J55" s="2" t="s">
        <v>47</v>
      </c>
      <c r="K55" s="2"/>
      <c r="L55" s="2"/>
    </row>
    <row r="56" spans="2:12" x14ac:dyDescent="0.35">
      <c r="J56" s="2" t="s">
        <v>47</v>
      </c>
      <c r="K56" s="2"/>
      <c r="L56" s="2"/>
    </row>
    <row r="57" spans="2:12" x14ac:dyDescent="0.35">
      <c r="J57" s="2" t="s">
        <v>47</v>
      </c>
      <c r="K57" s="2"/>
      <c r="L57" s="2"/>
    </row>
    <row r="58" spans="2:12" x14ac:dyDescent="0.35">
      <c r="J58" s="2" t="s">
        <v>48</v>
      </c>
      <c r="K58" s="2"/>
      <c r="L58" s="2"/>
    </row>
    <row r="59" spans="2:12" x14ac:dyDescent="0.35">
      <c r="J59" s="2" t="s">
        <v>48</v>
      </c>
      <c r="K59" s="2"/>
      <c r="L59" s="2"/>
    </row>
    <row r="60" spans="2:12" x14ac:dyDescent="0.35">
      <c r="J60" s="2" t="s">
        <v>48</v>
      </c>
      <c r="K60" s="2"/>
      <c r="L60" s="2"/>
    </row>
    <row r="61" spans="2:12" x14ac:dyDescent="0.35">
      <c r="J61" s="2" t="s">
        <v>48</v>
      </c>
      <c r="K61" s="2"/>
      <c r="L61" s="2"/>
    </row>
    <row r="62" spans="2:12" x14ac:dyDescent="0.35">
      <c r="J62" s="2" t="s">
        <v>48</v>
      </c>
      <c r="K62" s="2"/>
      <c r="L62" s="2"/>
    </row>
    <row r="63" spans="2:12" x14ac:dyDescent="0.35">
      <c r="J63" s="2" t="s">
        <v>48</v>
      </c>
      <c r="K63" s="2"/>
      <c r="L63" s="2"/>
    </row>
    <row r="64" spans="2:12" x14ac:dyDescent="0.35">
      <c r="J64" s="2" t="s">
        <v>48</v>
      </c>
      <c r="K64" s="2"/>
      <c r="L64" s="2"/>
    </row>
    <row r="65" spans="10:12" x14ac:dyDescent="0.35">
      <c r="J65" s="2" t="s">
        <v>312</v>
      </c>
      <c r="K65" s="2"/>
      <c r="L65" s="2"/>
    </row>
    <row r="66" spans="10:12" x14ac:dyDescent="0.35">
      <c r="J66" s="2" t="s">
        <v>312</v>
      </c>
      <c r="K66" s="2"/>
      <c r="L66" s="2"/>
    </row>
    <row r="67" spans="10:12" x14ac:dyDescent="0.35">
      <c r="J67" s="2" t="s">
        <v>312</v>
      </c>
      <c r="K67" s="2"/>
      <c r="L67" s="2"/>
    </row>
    <row r="68" spans="10:12" x14ac:dyDescent="0.35">
      <c r="J68" s="2" t="s">
        <v>42</v>
      </c>
      <c r="K68" s="2"/>
      <c r="L68" s="2"/>
    </row>
    <row r="69" spans="10:12" x14ac:dyDescent="0.35">
      <c r="J69" s="2" t="s">
        <v>429</v>
      </c>
      <c r="K69" s="2"/>
      <c r="L69" s="2"/>
    </row>
    <row r="70" spans="10:12" x14ac:dyDescent="0.35">
      <c r="J70" s="2" t="s">
        <v>87</v>
      </c>
      <c r="K70" s="2"/>
      <c r="L70" s="2"/>
    </row>
    <row r="71" spans="10:12" x14ac:dyDescent="0.35">
      <c r="J71" s="2" t="s">
        <v>33</v>
      </c>
      <c r="K71" s="2"/>
      <c r="L71" s="2"/>
    </row>
    <row r="72" spans="10:12" x14ac:dyDescent="0.35">
      <c r="J72" s="2" t="s">
        <v>96</v>
      </c>
      <c r="K72" s="2"/>
      <c r="L72" s="2"/>
    </row>
    <row r="73" spans="10:12" x14ac:dyDescent="0.35">
      <c r="J73" s="2" t="s">
        <v>96</v>
      </c>
      <c r="K73" s="2"/>
      <c r="L73" s="2"/>
    </row>
    <row r="74" spans="10:12" x14ac:dyDescent="0.35">
      <c r="J74" s="2" t="s">
        <v>96</v>
      </c>
      <c r="K74" s="2"/>
      <c r="L74" s="2"/>
    </row>
    <row r="75" spans="10:12" x14ac:dyDescent="0.35">
      <c r="J75" s="2" t="s">
        <v>96</v>
      </c>
      <c r="K75" s="2"/>
      <c r="L75" s="2"/>
    </row>
    <row r="76" spans="10:12" x14ac:dyDescent="0.35">
      <c r="J76" s="2" t="s">
        <v>96</v>
      </c>
      <c r="K76" s="2"/>
      <c r="L76" s="2"/>
    </row>
    <row r="77" spans="10:12" x14ac:dyDescent="0.35">
      <c r="J77" s="2" t="s">
        <v>96</v>
      </c>
      <c r="K77" s="2"/>
      <c r="L77" s="2"/>
    </row>
    <row r="78" spans="10:12" x14ac:dyDescent="0.35">
      <c r="J78" s="2" t="s">
        <v>96</v>
      </c>
      <c r="K78" s="2"/>
      <c r="L78" s="2"/>
    </row>
    <row r="79" spans="10:12" x14ac:dyDescent="0.35">
      <c r="J79" s="2" t="s">
        <v>96</v>
      </c>
      <c r="K79" s="2"/>
      <c r="L79" s="2"/>
    </row>
    <row r="80" spans="10:12" x14ac:dyDescent="0.35">
      <c r="J80" s="2" t="s">
        <v>96</v>
      </c>
      <c r="K80" s="2"/>
      <c r="L80" s="2"/>
    </row>
    <row r="81" spans="10:12" x14ac:dyDescent="0.35">
      <c r="J81" s="2" t="s">
        <v>96</v>
      </c>
      <c r="K81" s="2"/>
      <c r="L81" s="2"/>
    </row>
    <row r="82" spans="10:12" x14ac:dyDescent="0.35">
      <c r="J82" s="2" t="s">
        <v>96</v>
      </c>
      <c r="K82" s="2"/>
      <c r="L82" s="2"/>
    </row>
    <row r="83" spans="10:12" x14ac:dyDescent="0.35">
      <c r="J83" s="2" t="s">
        <v>96</v>
      </c>
      <c r="K83" s="2"/>
      <c r="L83" s="2"/>
    </row>
    <row r="84" spans="10:12" x14ac:dyDescent="0.35">
      <c r="J84" s="2" t="s">
        <v>96</v>
      </c>
      <c r="K84" s="2"/>
      <c r="L84" s="2"/>
    </row>
    <row r="85" spans="10:12" x14ac:dyDescent="0.35">
      <c r="J85" s="2" t="s">
        <v>96</v>
      </c>
      <c r="K85" s="2"/>
      <c r="L85" s="2"/>
    </row>
    <row r="86" spans="10:12" x14ac:dyDescent="0.35">
      <c r="J86" s="2" t="s">
        <v>96</v>
      </c>
      <c r="K86" s="2"/>
      <c r="L86" s="2"/>
    </row>
    <row r="87" spans="10:12" x14ac:dyDescent="0.35">
      <c r="J87" s="2" t="s">
        <v>96</v>
      </c>
      <c r="K87" s="2"/>
      <c r="L87" s="2"/>
    </row>
    <row r="88" spans="10:12" x14ac:dyDescent="0.35">
      <c r="J88" s="2" t="s">
        <v>96</v>
      </c>
      <c r="K88" s="2"/>
      <c r="L88" s="2"/>
    </row>
    <row r="89" spans="10:12" x14ac:dyDescent="0.35">
      <c r="J89" s="2" t="s">
        <v>96</v>
      </c>
      <c r="K89" s="2"/>
      <c r="L89" s="2"/>
    </row>
    <row r="90" spans="10:12" x14ac:dyDescent="0.35">
      <c r="J90" s="2" t="s">
        <v>96</v>
      </c>
      <c r="K90" s="2"/>
      <c r="L90" s="2"/>
    </row>
    <row r="91" spans="10:12" x14ac:dyDescent="0.35">
      <c r="J91" s="2" t="s">
        <v>96</v>
      </c>
      <c r="K91" s="2"/>
      <c r="L91" s="2"/>
    </row>
    <row r="92" spans="10:12" x14ac:dyDescent="0.35">
      <c r="J92" s="2" t="s">
        <v>96</v>
      </c>
      <c r="K92" s="2"/>
      <c r="L92" s="2"/>
    </row>
    <row r="93" spans="10:12" x14ac:dyDescent="0.35">
      <c r="J93" s="2" t="s">
        <v>96</v>
      </c>
      <c r="K93" s="2"/>
      <c r="L93" s="2"/>
    </row>
    <row r="94" spans="10:12" x14ac:dyDescent="0.35">
      <c r="J94" s="2" t="s">
        <v>96</v>
      </c>
      <c r="K94" s="2"/>
      <c r="L94" s="2"/>
    </row>
    <row r="95" spans="10:12" x14ac:dyDescent="0.35">
      <c r="J95" s="2" t="s">
        <v>129</v>
      </c>
      <c r="K95" s="2"/>
      <c r="L95" s="2"/>
    </row>
    <row r="96" spans="10:12" x14ac:dyDescent="0.35">
      <c r="J96" s="2" t="s">
        <v>97</v>
      </c>
      <c r="K96" s="2"/>
      <c r="L96" s="2"/>
    </row>
    <row r="97" spans="10:12" x14ac:dyDescent="0.35">
      <c r="J97" s="2" t="s">
        <v>97</v>
      </c>
      <c r="K97" s="2"/>
      <c r="L97" s="2"/>
    </row>
    <row r="98" spans="10:12" x14ac:dyDescent="0.35">
      <c r="J98" s="2" t="s">
        <v>97</v>
      </c>
      <c r="K98" s="2"/>
      <c r="L98" s="2"/>
    </row>
    <row r="99" spans="10:12" x14ac:dyDescent="0.35">
      <c r="J99" s="2" t="s">
        <v>98</v>
      </c>
      <c r="K99" s="2"/>
      <c r="L99" s="2"/>
    </row>
    <row r="100" spans="10:12" x14ac:dyDescent="0.35">
      <c r="J100" s="2" t="s">
        <v>166</v>
      </c>
      <c r="K100" s="2"/>
      <c r="L100" s="2"/>
    </row>
    <row r="101" spans="10:12" x14ac:dyDescent="0.35">
      <c r="J101" s="2" t="s">
        <v>166</v>
      </c>
      <c r="K101" s="2"/>
      <c r="L101" s="2"/>
    </row>
    <row r="102" spans="10:12" x14ac:dyDescent="0.35">
      <c r="J102" s="2" t="s">
        <v>166</v>
      </c>
      <c r="K102" s="2"/>
      <c r="L102" s="2"/>
    </row>
    <row r="103" spans="10:12" x14ac:dyDescent="0.35">
      <c r="J103" s="2" t="s">
        <v>99</v>
      </c>
      <c r="K103" s="2"/>
      <c r="L103" s="2"/>
    </row>
    <row r="104" spans="10:12" x14ac:dyDescent="0.35">
      <c r="J104" s="2" t="s">
        <v>99</v>
      </c>
      <c r="K104" s="2"/>
      <c r="L104" s="2"/>
    </row>
    <row r="105" spans="10:12" x14ac:dyDescent="0.35">
      <c r="J105" s="2" t="s">
        <v>99</v>
      </c>
      <c r="K105" s="2"/>
      <c r="L105" s="2"/>
    </row>
    <row r="106" spans="10:12" x14ac:dyDescent="0.35">
      <c r="J106" s="2" t="s">
        <v>99</v>
      </c>
      <c r="K106" s="2"/>
      <c r="L106" s="2"/>
    </row>
    <row r="107" spans="10:12" x14ac:dyDescent="0.35">
      <c r="J107" s="2" t="s">
        <v>99</v>
      </c>
      <c r="K107" s="2"/>
      <c r="L107" s="2"/>
    </row>
    <row r="108" spans="10:12" x14ac:dyDescent="0.35">
      <c r="J108" s="2" t="s">
        <v>99</v>
      </c>
      <c r="K108" s="2"/>
      <c r="L108" s="2"/>
    </row>
    <row r="109" spans="10:12" x14ac:dyDescent="0.35">
      <c r="J109" s="2" t="s">
        <v>99</v>
      </c>
      <c r="K109" s="2"/>
      <c r="L109" s="2"/>
    </row>
    <row r="110" spans="10:12" x14ac:dyDescent="0.35">
      <c r="J110" s="2" t="s">
        <v>99</v>
      </c>
      <c r="K110" s="2"/>
      <c r="L110" s="2"/>
    </row>
    <row r="111" spans="10:12" x14ac:dyDescent="0.35">
      <c r="J111" s="2" t="s">
        <v>99</v>
      </c>
      <c r="K111" s="2"/>
      <c r="L111" s="2"/>
    </row>
    <row r="112" spans="10:12" x14ac:dyDescent="0.35">
      <c r="J112" s="2" t="s">
        <v>99</v>
      </c>
      <c r="K112" s="2"/>
      <c r="L112" s="2"/>
    </row>
    <row r="113" spans="10:12" x14ac:dyDescent="0.35">
      <c r="J113" s="2" t="s">
        <v>99</v>
      </c>
      <c r="K113" s="2"/>
      <c r="L113" s="2"/>
    </row>
    <row r="114" spans="10:12" x14ac:dyDescent="0.35">
      <c r="J114" s="2" t="s">
        <v>99</v>
      </c>
      <c r="K114" s="2"/>
      <c r="L114" s="2"/>
    </row>
    <row r="115" spans="10:12" x14ac:dyDescent="0.35">
      <c r="J115" s="2" t="s">
        <v>99</v>
      </c>
      <c r="K115" s="2"/>
      <c r="L115" s="2"/>
    </row>
    <row r="116" spans="10:12" x14ac:dyDescent="0.35">
      <c r="J116" s="2" t="s">
        <v>99</v>
      </c>
      <c r="K116" s="2"/>
      <c r="L116" s="2"/>
    </row>
    <row r="117" spans="10:12" x14ac:dyDescent="0.35">
      <c r="J117" s="2" t="s">
        <v>99</v>
      </c>
      <c r="K117" s="2"/>
      <c r="L117" s="2"/>
    </row>
    <row r="118" spans="10:12" x14ac:dyDescent="0.35">
      <c r="J118" s="2" t="s">
        <v>99</v>
      </c>
      <c r="K118" s="2"/>
      <c r="L118" s="2"/>
    </row>
    <row r="119" spans="10:12" x14ac:dyDescent="0.35">
      <c r="J119" s="2" t="s">
        <v>99</v>
      </c>
      <c r="K119" s="2"/>
      <c r="L119" s="2"/>
    </row>
    <row r="120" spans="10:12" x14ac:dyDescent="0.35">
      <c r="J120" s="2" t="s">
        <v>99</v>
      </c>
      <c r="K120" s="2"/>
      <c r="L120" s="2"/>
    </row>
    <row r="121" spans="10:12" x14ac:dyDescent="0.35">
      <c r="J121" s="2" t="s">
        <v>99</v>
      </c>
      <c r="K121" s="2"/>
      <c r="L121" s="2"/>
    </row>
    <row r="122" spans="10:12" x14ac:dyDescent="0.35">
      <c r="J122" s="2" t="s">
        <v>99</v>
      </c>
      <c r="K122" s="2"/>
      <c r="L122" s="2"/>
    </row>
    <row r="123" spans="10:12" x14ac:dyDescent="0.35">
      <c r="J123" s="2" t="s">
        <v>99</v>
      </c>
      <c r="K123" s="2"/>
      <c r="L123" s="2"/>
    </row>
    <row r="124" spans="10:12" x14ac:dyDescent="0.35">
      <c r="J124" s="2" t="s">
        <v>99</v>
      </c>
      <c r="K124" s="2"/>
      <c r="L124" s="2"/>
    </row>
    <row r="125" spans="10:12" x14ac:dyDescent="0.35">
      <c r="J125" s="2" t="s">
        <v>99</v>
      </c>
      <c r="K125" s="2"/>
      <c r="L125" s="2"/>
    </row>
    <row r="126" spans="10:12" x14ac:dyDescent="0.35">
      <c r="J126" s="2" t="s">
        <v>99</v>
      </c>
      <c r="K126" s="2"/>
      <c r="L126" s="2"/>
    </row>
    <row r="127" spans="10:12" x14ac:dyDescent="0.35">
      <c r="J127" s="2" t="s">
        <v>99</v>
      </c>
      <c r="K127" s="2"/>
      <c r="L127" s="2"/>
    </row>
    <row r="128" spans="10:12" x14ac:dyDescent="0.35">
      <c r="J128" s="2" t="s">
        <v>99</v>
      </c>
      <c r="K128" s="2"/>
      <c r="L128" s="2"/>
    </row>
    <row r="129" spans="10:12" x14ac:dyDescent="0.35">
      <c r="J129" s="2" t="s">
        <v>99</v>
      </c>
      <c r="K129" s="2"/>
      <c r="L129" s="2"/>
    </row>
    <row r="130" spans="10:12" x14ac:dyDescent="0.35">
      <c r="J130" s="2" t="s">
        <v>99</v>
      </c>
      <c r="K130" s="2"/>
      <c r="L130" s="2"/>
    </row>
    <row r="131" spans="10:12" x14ac:dyDescent="0.35">
      <c r="J131" s="2" t="s">
        <v>99</v>
      </c>
      <c r="K131" s="2"/>
      <c r="L131" s="2"/>
    </row>
    <row r="132" spans="10:12" x14ac:dyDescent="0.35">
      <c r="J132" s="2" t="s">
        <v>99</v>
      </c>
      <c r="K132" s="2"/>
      <c r="L132" s="2"/>
    </row>
    <row r="133" spans="10:12" x14ac:dyDescent="0.35">
      <c r="J133" s="2" t="s">
        <v>99</v>
      </c>
      <c r="K133" s="2"/>
      <c r="L133" s="2"/>
    </row>
    <row r="134" spans="10:12" x14ac:dyDescent="0.35">
      <c r="J134" s="2" t="s">
        <v>99</v>
      </c>
      <c r="K134" s="2"/>
      <c r="L134" s="2"/>
    </row>
    <row r="135" spans="10:12" x14ac:dyDescent="0.35">
      <c r="J135" s="2" t="s">
        <v>99</v>
      </c>
      <c r="K135" s="2"/>
      <c r="L135" s="2"/>
    </row>
    <row r="136" spans="10:12" x14ac:dyDescent="0.35">
      <c r="J136" s="2" t="s">
        <v>99</v>
      </c>
      <c r="K136" s="2"/>
      <c r="L136" s="2"/>
    </row>
    <row r="137" spans="10:12" x14ac:dyDescent="0.35">
      <c r="J137" s="2" t="s">
        <v>99</v>
      </c>
      <c r="K137" s="2"/>
      <c r="L137" s="2"/>
    </row>
    <row r="138" spans="10:12" x14ac:dyDescent="0.35">
      <c r="J138" s="2" t="s">
        <v>99</v>
      </c>
      <c r="K138" s="2"/>
      <c r="L138" s="2"/>
    </row>
    <row r="139" spans="10:12" x14ac:dyDescent="0.35">
      <c r="J139" s="2" t="s">
        <v>99</v>
      </c>
      <c r="K139" s="2"/>
      <c r="L139" s="2"/>
    </row>
    <row r="140" spans="10:12" x14ac:dyDescent="0.35">
      <c r="J140" s="2" t="s">
        <v>99</v>
      </c>
      <c r="K140" s="2"/>
      <c r="L140" s="2"/>
    </row>
    <row r="141" spans="10:12" x14ac:dyDescent="0.35">
      <c r="J141" s="2" t="s">
        <v>99</v>
      </c>
      <c r="K141" s="2"/>
      <c r="L141" s="2"/>
    </row>
    <row r="142" spans="10:12" x14ac:dyDescent="0.35">
      <c r="J142" s="2" t="s">
        <v>99</v>
      </c>
      <c r="K142" s="2"/>
      <c r="L142" s="2"/>
    </row>
    <row r="143" spans="10:12" x14ac:dyDescent="0.35">
      <c r="J143" s="2" t="s">
        <v>99</v>
      </c>
      <c r="K143" s="2"/>
      <c r="L143" s="2"/>
    </row>
    <row r="144" spans="10:12" x14ac:dyDescent="0.35">
      <c r="J144" s="2" t="s">
        <v>99</v>
      </c>
      <c r="K144" s="2"/>
      <c r="L144" s="2"/>
    </row>
    <row r="145" spans="10:12" x14ac:dyDescent="0.35">
      <c r="J145" s="2" t="s">
        <v>99</v>
      </c>
      <c r="K145" s="2"/>
      <c r="L145" s="2"/>
    </row>
    <row r="146" spans="10:12" x14ac:dyDescent="0.35">
      <c r="J146" s="2" t="s">
        <v>99</v>
      </c>
      <c r="K146" s="2"/>
      <c r="L146" s="2"/>
    </row>
    <row r="147" spans="10:12" x14ac:dyDescent="0.35">
      <c r="J147" s="2" t="s">
        <v>99</v>
      </c>
      <c r="K147" s="2"/>
      <c r="L147" s="2"/>
    </row>
    <row r="148" spans="10:12" x14ac:dyDescent="0.35">
      <c r="J148" s="2" t="s">
        <v>99</v>
      </c>
      <c r="K148" s="2"/>
      <c r="L148" s="2"/>
    </row>
    <row r="149" spans="10:12" x14ac:dyDescent="0.35">
      <c r="J149" s="2" t="s">
        <v>99</v>
      </c>
      <c r="K149" s="2"/>
      <c r="L149" s="2"/>
    </row>
    <row r="150" spans="10:12" x14ac:dyDescent="0.35">
      <c r="J150" s="2" t="s">
        <v>99</v>
      </c>
      <c r="K150" s="2"/>
      <c r="L150" s="2"/>
    </row>
    <row r="151" spans="10:12" x14ac:dyDescent="0.35">
      <c r="J151" s="2" t="s">
        <v>100</v>
      </c>
      <c r="K151" s="2"/>
      <c r="L151" s="2"/>
    </row>
    <row r="152" spans="10:12" x14ac:dyDescent="0.35">
      <c r="J152" s="2" t="s">
        <v>49</v>
      </c>
      <c r="K152" s="2"/>
      <c r="L152" s="2"/>
    </row>
    <row r="153" spans="10:12" x14ac:dyDescent="0.35">
      <c r="J153" s="2" t="s">
        <v>49</v>
      </c>
      <c r="K153" s="2"/>
      <c r="L153" s="2"/>
    </row>
    <row r="154" spans="10:12" x14ac:dyDescent="0.35">
      <c r="J154" s="2" t="s">
        <v>49</v>
      </c>
      <c r="K154" s="2"/>
      <c r="L154" s="2"/>
    </row>
    <row r="155" spans="10:12" x14ac:dyDescent="0.35">
      <c r="J155" s="2" t="s">
        <v>49</v>
      </c>
      <c r="K155" s="2"/>
      <c r="L155" s="2"/>
    </row>
    <row r="156" spans="10:12" x14ac:dyDescent="0.35">
      <c r="J156" s="2" t="s">
        <v>49</v>
      </c>
      <c r="K156" s="2"/>
      <c r="L156" s="2"/>
    </row>
    <row r="157" spans="10:12" x14ac:dyDescent="0.35">
      <c r="J157" s="2" t="s">
        <v>49</v>
      </c>
      <c r="K157" s="2"/>
      <c r="L157" s="2"/>
    </row>
    <row r="158" spans="10:12" x14ac:dyDescent="0.35">
      <c r="J158" s="2" t="s">
        <v>49</v>
      </c>
      <c r="K158" s="2"/>
      <c r="L158" s="2"/>
    </row>
    <row r="159" spans="10:12" x14ac:dyDescent="0.35">
      <c r="J159" s="2" t="s">
        <v>314</v>
      </c>
      <c r="K159" s="2"/>
      <c r="L159" s="2"/>
    </row>
    <row r="160" spans="10:12" x14ac:dyDescent="0.35">
      <c r="J160" s="2" t="s">
        <v>314</v>
      </c>
      <c r="K160" s="2"/>
      <c r="L160" s="2"/>
    </row>
    <row r="161" spans="10:12" x14ac:dyDescent="0.35">
      <c r="J161" s="2" t="s">
        <v>386</v>
      </c>
      <c r="K161" s="2"/>
      <c r="L161" s="2"/>
    </row>
    <row r="162" spans="10:12" x14ac:dyDescent="0.35">
      <c r="J162" s="2" t="s">
        <v>104</v>
      </c>
      <c r="K162" s="2"/>
      <c r="L162" s="2"/>
    </row>
    <row r="163" spans="10:12" x14ac:dyDescent="0.35">
      <c r="J163" s="2" t="s">
        <v>104</v>
      </c>
      <c r="K163" s="2"/>
      <c r="L163" s="2"/>
    </row>
    <row r="164" spans="10:12" x14ac:dyDescent="0.35">
      <c r="J164" s="2" t="s">
        <v>105</v>
      </c>
      <c r="K164" s="2"/>
      <c r="L164" s="2"/>
    </row>
    <row r="165" spans="10:12" x14ac:dyDescent="0.35">
      <c r="J165" s="2" t="s">
        <v>105</v>
      </c>
      <c r="K165" s="2"/>
      <c r="L165" s="2"/>
    </row>
    <row r="166" spans="10:12" x14ac:dyDescent="0.35">
      <c r="J166" s="2" t="s">
        <v>243</v>
      </c>
      <c r="K166" s="2"/>
      <c r="L166" s="2"/>
    </row>
    <row r="167" spans="10:12" x14ac:dyDescent="0.35">
      <c r="J167" s="2" t="s">
        <v>243</v>
      </c>
      <c r="K167" s="2"/>
      <c r="L167" s="2"/>
    </row>
    <row r="168" spans="10:12" x14ac:dyDescent="0.35">
      <c r="J168" s="2" t="s">
        <v>89</v>
      </c>
      <c r="K168" s="2"/>
      <c r="L168" s="2"/>
    </row>
    <row r="169" spans="10:12" x14ac:dyDescent="0.35">
      <c r="J169" s="2" t="s">
        <v>362</v>
      </c>
      <c r="K169" s="2"/>
      <c r="L169" s="2"/>
    </row>
    <row r="170" spans="10:12" x14ac:dyDescent="0.35">
      <c r="J170" s="2" t="s">
        <v>111</v>
      </c>
      <c r="K170" s="2"/>
      <c r="L170" s="2"/>
    </row>
    <row r="171" spans="10:12" x14ac:dyDescent="0.35">
      <c r="J171" s="2" t="s">
        <v>84</v>
      </c>
      <c r="K171" s="2"/>
      <c r="L171" s="2"/>
    </row>
    <row r="172" spans="10:12" x14ac:dyDescent="0.35">
      <c r="J172" s="2" t="s">
        <v>34</v>
      </c>
      <c r="K172" s="2"/>
      <c r="L172" s="2"/>
    </row>
    <row r="173" spans="10:12" x14ac:dyDescent="0.35">
      <c r="J173" s="2" t="s">
        <v>112</v>
      </c>
      <c r="K173" s="2"/>
      <c r="L173" s="2"/>
    </row>
    <row r="174" spans="10:12" x14ac:dyDescent="0.35">
      <c r="J174" s="2" t="s">
        <v>394</v>
      </c>
      <c r="K174" s="2"/>
      <c r="L174" s="2"/>
    </row>
    <row r="175" spans="10:12" x14ac:dyDescent="0.35">
      <c r="J175" s="2" t="s">
        <v>68</v>
      </c>
      <c r="K175" s="2"/>
      <c r="L175" s="2"/>
    </row>
    <row r="176" spans="10:12" x14ac:dyDescent="0.35">
      <c r="J176" s="2" t="s">
        <v>68</v>
      </c>
      <c r="K176" s="2"/>
      <c r="L176" s="2"/>
    </row>
    <row r="177" spans="10:12" x14ac:dyDescent="0.35">
      <c r="J177" s="2" t="s">
        <v>391</v>
      </c>
      <c r="K177" s="2"/>
      <c r="L177" s="2"/>
    </row>
    <row r="178" spans="10:12" x14ac:dyDescent="0.35">
      <c r="J178" s="2" t="s">
        <v>391</v>
      </c>
      <c r="K178" s="2"/>
      <c r="L178" s="2"/>
    </row>
    <row r="179" spans="10:12" x14ac:dyDescent="0.35">
      <c r="J179" s="2" t="s">
        <v>391</v>
      </c>
      <c r="K179" s="2"/>
      <c r="L179" s="2"/>
    </row>
    <row r="180" spans="10:12" x14ac:dyDescent="0.35">
      <c r="J180" s="2" t="s">
        <v>135</v>
      </c>
      <c r="K180" s="2"/>
      <c r="L180" s="2"/>
    </row>
    <row r="181" spans="10:12" x14ac:dyDescent="0.35">
      <c r="J181" s="2" t="s">
        <v>135</v>
      </c>
      <c r="K181" s="2"/>
      <c r="L181" s="2"/>
    </row>
    <row r="182" spans="10:12" x14ac:dyDescent="0.35">
      <c r="J182" s="2" t="s">
        <v>305</v>
      </c>
      <c r="K182" s="2"/>
      <c r="L182" s="2"/>
    </row>
    <row r="183" spans="10:12" x14ac:dyDescent="0.35">
      <c r="J183" s="2" t="s">
        <v>40</v>
      </c>
      <c r="K183" s="2"/>
      <c r="L183" s="2"/>
    </row>
    <row r="184" spans="10:12" x14ac:dyDescent="0.35">
      <c r="J184" s="2" t="s">
        <v>40</v>
      </c>
      <c r="K184" s="2"/>
      <c r="L184" s="2"/>
    </row>
    <row r="185" spans="10:12" x14ac:dyDescent="0.35">
      <c r="J185" s="2" t="s">
        <v>40</v>
      </c>
      <c r="K185" s="2"/>
      <c r="L185" s="2"/>
    </row>
    <row r="186" spans="10:12" x14ac:dyDescent="0.35">
      <c r="J186" s="2" t="s">
        <v>299</v>
      </c>
      <c r="K186" s="2"/>
      <c r="L186" s="2"/>
    </row>
    <row r="187" spans="10:12" x14ac:dyDescent="0.35">
      <c r="J187" s="2" t="s">
        <v>299</v>
      </c>
      <c r="K187" s="2"/>
      <c r="L187" s="2"/>
    </row>
    <row r="188" spans="10:12" x14ac:dyDescent="0.35">
      <c r="J188" s="2" t="s">
        <v>299</v>
      </c>
      <c r="K188" s="2"/>
      <c r="L188" s="2"/>
    </row>
    <row r="189" spans="10:12" x14ac:dyDescent="0.35">
      <c r="J189" s="2" t="s">
        <v>299</v>
      </c>
      <c r="K189" s="2"/>
      <c r="L189" s="2"/>
    </row>
    <row r="190" spans="10:12" x14ac:dyDescent="0.35">
      <c r="J190" s="2" t="s">
        <v>299</v>
      </c>
      <c r="K190" s="2"/>
      <c r="L190" s="2"/>
    </row>
    <row r="191" spans="10:12" x14ac:dyDescent="0.35">
      <c r="J191" s="2" t="s">
        <v>299</v>
      </c>
      <c r="K191" s="2"/>
      <c r="L191" s="2"/>
    </row>
    <row r="192" spans="10:12" x14ac:dyDescent="0.35">
      <c r="J192" s="2" t="s">
        <v>299</v>
      </c>
      <c r="K192" s="2"/>
      <c r="L192" s="2"/>
    </row>
    <row r="193" spans="10:12" x14ac:dyDescent="0.35">
      <c r="J193" s="2" t="s">
        <v>299</v>
      </c>
      <c r="K193" s="2"/>
      <c r="L193" s="2"/>
    </row>
    <row r="194" spans="10:12" x14ac:dyDescent="0.35">
      <c r="J194" s="2" t="s">
        <v>299</v>
      </c>
      <c r="K194" s="2"/>
      <c r="L194" s="2"/>
    </row>
    <row r="195" spans="10:12" x14ac:dyDescent="0.35">
      <c r="J195" s="2" t="s">
        <v>299</v>
      </c>
      <c r="K195" s="2"/>
      <c r="L195" s="2"/>
    </row>
    <row r="196" spans="10:12" x14ac:dyDescent="0.35">
      <c r="J196" s="2" t="s">
        <v>392</v>
      </c>
      <c r="K196" s="2"/>
      <c r="L196" s="2"/>
    </row>
    <row r="197" spans="10:12" x14ac:dyDescent="0.35">
      <c r="J197" s="2" t="s">
        <v>392</v>
      </c>
      <c r="K197" s="2"/>
      <c r="L197" s="2"/>
    </row>
    <row r="198" spans="10:12" x14ac:dyDescent="0.35">
      <c r="J198" s="2" t="s">
        <v>244</v>
      </c>
      <c r="K198" s="2"/>
      <c r="L198" s="2"/>
    </row>
    <row r="199" spans="10:12" x14ac:dyDescent="0.35">
      <c r="J199" s="2" t="s">
        <v>244</v>
      </c>
      <c r="K199" s="2"/>
      <c r="L199" s="2"/>
    </row>
    <row r="200" spans="10:12" x14ac:dyDescent="0.35">
      <c r="J200" s="2" t="s">
        <v>537</v>
      </c>
      <c r="K200" s="2"/>
      <c r="L200" s="2"/>
    </row>
  </sheetData>
  <autoFilter ref="J4:L200" xr:uid="{37D0CF23-E928-4B95-9980-7E60CD2F2310}"/>
  <sortState xmlns:xlrd2="http://schemas.microsoft.com/office/spreadsheetml/2017/richdata2" ref="J5:J200">
    <sortCondition ref="J5:J200"/>
  </sortState>
  <mergeCells count="1">
    <mergeCell ref="B2:H2"/>
  </mergeCells>
  <dataValidations count="1">
    <dataValidation type="list" allowBlank="1" showInputMessage="1" showErrorMessage="1" sqref="C5:C54" xr:uid="{D11C93A3-D6AD-4CD0-9944-9403F444DEAF}">
      <formula1>t_kel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D5081-C22B-4F48-B5B5-F841AA445584}">
  <dimension ref="B2:O175"/>
  <sheetViews>
    <sheetView showGridLines="0" topLeftCell="A64" zoomScale="77" workbookViewId="0">
      <selection activeCell="C85" sqref="C85"/>
    </sheetView>
  </sheetViews>
  <sheetFormatPr defaultRowHeight="14.5" x14ac:dyDescent="0.35"/>
  <cols>
    <col min="1" max="1" width="4.6328125" customWidth="1"/>
    <col min="2" max="2" width="6.81640625" customWidth="1"/>
    <col min="3" max="3" width="35.36328125" bestFit="1" customWidth="1"/>
    <col min="4" max="4" width="32.7265625" bestFit="1" customWidth="1"/>
    <col min="6" max="6" width="32.54296875" bestFit="1" customWidth="1"/>
    <col min="9" max="9" width="23.453125" bestFit="1" customWidth="1"/>
    <col min="10" max="11" width="20.54296875" customWidth="1"/>
    <col min="12" max="12" width="23" bestFit="1" customWidth="1"/>
    <col min="14" max="14" width="6.6328125" customWidth="1"/>
    <col min="15" max="15" width="26.26953125" bestFit="1" customWidth="1"/>
  </cols>
  <sheetData>
    <row r="2" spans="2:15" x14ac:dyDescent="0.35">
      <c r="B2" s="3" t="s">
        <v>14</v>
      </c>
      <c r="H2" s="3" t="s">
        <v>27</v>
      </c>
      <c r="N2" s="3" t="s">
        <v>205</v>
      </c>
    </row>
    <row r="3" spans="2:15" x14ac:dyDescent="0.35">
      <c r="B3" t="s">
        <v>15</v>
      </c>
      <c r="C3" t="s">
        <v>16</v>
      </c>
      <c r="D3" t="s">
        <v>11</v>
      </c>
      <c r="F3" s="5" t="s">
        <v>11</v>
      </c>
      <c r="H3" t="s">
        <v>28</v>
      </c>
      <c r="I3" t="s">
        <v>29</v>
      </c>
      <c r="J3" t="s">
        <v>30</v>
      </c>
      <c r="K3" t="s">
        <v>151</v>
      </c>
      <c r="L3" t="s">
        <v>31</v>
      </c>
      <c r="N3" t="s">
        <v>28</v>
      </c>
      <c r="O3" t="s">
        <v>205</v>
      </c>
    </row>
    <row r="4" spans="2:15" x14ac:dyDescent="0.35">
      <c r="B4" s="2">
        <f>IF(Table5[[#This Row],[NAMA PROGRAM]]="","",ROW(H1))</f>
        <v>1</v>
      </c>
      <c r="C4" s="2" t="s">
        <v>164</v>
      </c>
      <c r="D4" s="2" t="s">
        <v>13</v>
      </c>
      <c r="F4" s="48" t="s">
        <v>13</v>
      </c>
      <c r="H4">
        <f>IF(Table2[[#This Row],[Kelurahan]]="","",ROW(M1))</f>
        <v>1</v>
      </c>
      <c r="I4" t="s">
        <v>296</v>
      </c>
      <c r="J4" t="s">
        <v>297</v>
      </c>
      <c r="K4" t="s">
        <v>278</v>
      </c>
      <c r="L4" t="s">
        <v>279</v>
      </c>
      <c r="N4">
        <f>IF(Table13[[#This Row],[Sasaran PM]]="","",ROW(Q1))</f>
        <v>1</v>
      </c>
      <c r="O4" t="s">
        <v>206</v>
      </c>
    </row>
    <row r="5" spans="2:15" x14ac:dyDescent="0.35">
      <c r="B5" s="2">
        <f>IF(Table5[[#This Row],[NAMA PROGRAM]]="","",ROW(H2))</f>
        <v>2</v>
      </c>
      <c r="C5" s="2" t="s">
        <v>170</v>
      </c>
      <c r="D5" s="2" t="s">
        <v>13</v>
      </c>
      <c r="F5" s="49" t="s">
        <v>233</v>
      </c>
      <c r="H5">
        <f>IF(Table2[[#This Row],[Kelurahan]]="","",ROW(M2))</f>
        <v>2</v>
      </c>
      <c r="I5" t="s">
        <v>285</v>
      </c>
      <c r="J5" t="s">
        <v>286</v>
      </c>
      <c r="K5" t="s">
        <v>278</v>
      </c>
      <c r="L5" t="s">
        <v>279</v>
      </c>
      <c r="N5">
        <f>IF(Table13[[#This Row],[Sasaran PM]]="","",ROW(Q2))</f>
        <v>2</v>
      </c>
      <c r="O5" t="s">
        <v>207</v>
      </c>
    </row>
    <row r="6" spans="2:15" x14ac:dyDescent="0.35">
      <c r="B6" s="2">
        <f>IF(Table5[[#This Row],[NAMA PROGRAM]]="","",ROW(H3))</f>
        <v>3</v>
      </c>
      <c r="C6" s="2" t="s">
        <v>202</v>
      </c>
      <c r="D6" s="2" t="s">
        <v>13</v>
      </c>
      <c r="F6" s="49" t="s">
        <v>171</v>
      </c>
      <c r="H6">
        <f>IF(Table2[[#This Row],[Kelurahan]]="","",ROW(M3))</f>
        <v>3</v>
      </c>
      <c r="I6" t="s">
        <v>289</v>
      </c>
      <c r="J6" t="s">
        <v>286</v>
      </c>
      <c r="K6" t="s">
        <v>278</v>
      </c>
      <c r="L6" t="s">
        <v>279</v>
      </c>
      <c r="N6">
        <f>IF(Table13[[#This Row],[Sasaran PM]]="","",ROW(Q3))</f>
        <v>3</v>
      </c>
      <c r="O6" t="s">
        <v>208</v>
      </c>
    </row>
    <row r="7" spans="2:15" x14ac:dyDescent="0.35">
      <c r="B7" s="2">
        <f>IF(Table5[[#This Row],[NAMA PROGRAM]]="","",ROW(H4))</f>
        <v>4</v>
      </c>
      <c r="C7" s="2" t="s">
        <v>203</v>
      </c>
      <c r="D7" s="2" t="s">
        <v>13</v>
      </c>
      <c r="F7" s="50" t="s">
        <v>1</v>
      </c>
      <c r="H7">
        <f>IF(Table2[[#This Row],[Kelurahan]]="","",ROW(M4))</f>
        <v>4</v>
      </c>
      <c r="I7" t="s">
        <v>290</v>
      </c>
      <c r="J7" t="s">
        <v>286</v>
      </c>
      <c r="K7" t="s">
        <v>278</v>
      </c>
      <c r="L7" t="s">
        <v>279</v>
      </c>
      <c r="N7">
        <f>IF(Table13[[#This Row],[Sasaran PM]]="","",ROW(Q4))</f>
        <v>4</v>
      </c>
      <c r="O7" t="s">
        <v>209</v>
      </c>
    </row>
    <row r="8" spans="2:15" x14ac:dyDescent="0.35">
      <c r="B8" s="2">
        <f>IF(Table5[[#This Row],[NAMA PROGRAM]]="","",ROW(H5))</f>
        <v>5</v>
      </c>
      <c r="C8" s="2" t="s">
        <v>204</v>
      </c>
      <c r="D8" s="2" t="s">
        <v>13</v>
      </c>
      <c r="F8" s="50" t="s">
        <v>12</v>
      </c>
      <c r="H8">
        <f>IF(Table2[[#This Row],[Kelurahan]]="","",ROW(M5))</f>
        <v>5</v>
      </c>
      <c r="I8" t="s">
        <v>303</v>
      </c>
      <c r="J8" t="s">
        <v>286</v>
      </c>
      <c r="K8" t="s">
        <v>278</v>
      </c>
      <c r="L8" t="s">
        <v>279</v>
      </c>
      <c r="N8">
        <f>IF(Table13[[#This Row],[Sasaran PM]]="","",ROW(Q5))</f>
        <v>5</v>
      </c>
      <c r="O8" t="s">
        <v>210</v>
      </c>
    </row>
    <row r="9" spans="2:15" x14ac:dyDescent="0.35">
      <c r="B9" s="2">
        <f>IF(Table5[[#This Row],[NAMA PROGRAM]]="","",ROW(H6))</f>
        <v>6</v>
      </c>
      <c r="C9" s="2" t="s">
        <v>218</v>
      </c>
      <c r="D9" s="2" t="s">
        <v>13</v>
      </c>
      <c r="F9" s="50" t="s">
        <v>4</v>
      </c>
      <c r="H9">
        <f>IF(Table2[[#This Row],[Kelurahan]]="","",ROW(M6))</f>
        <v>6</v>
      </c>
      <c r="I9" t="s">
        <v>299</v>
      </c>
      <c r="J9" t="s">
        <v>300</v>
      </c>
      <c r="K9" t="s">
        <v>278</v>
      </c>
      <c r="L9" t="s">
        <v>279</v>
      </c>
      <c r="N9">
        <f>IF(Table13[[#This Row],[Sasaran PM]]="","",ROW(Q6))</f>
        <v>6</v>
      </c>
      <c r="O9" t="s">
        <v>211</v>
      </c>
    </row>
    <row r="10" spans="2:15" x14ac:dyDescent="0.35">
      <c r="B10" s="2">
        <f>IF(Table5[[#This Row],[NAMA PROGRAM]]="","",ROW(H7))</f>
        <v>7</v>
      </c>
      <c r="C10" s="2" t="s">
        <v>219</v>
      </c>
      <c r="D10" s="2" t="s">
        <v>13</v>
      </c>
      <c r="F10" s="50" t="s">
        <v>306</v>
      </c>
      <c r="H10">
        <f>IF(Table2[[#This Row],[Kelurahan]]="","",ROW(M7))</f>
        <v>7</v>
      </c>
      <c r="I10" t="s">
        <v>292</v>
      </c>
      <c r="J10" t="s">
        <v>282</v>
      </c>
      <c r="K10" t="s">
        <v>278</v>
      </c>
      <c r="L10" t="s">
        <v>279</v>
      </c>
      <c r="N10">
        <f>IF(Table13[[#This Row],[Sasaran PM]]="","",ROW(Q7))</f>
        <v>7</v>
      </c>
      <c r="O10" t="s">
        <v>212</v>
      </c>
    </row>
    <row r="11" spans="2:15" x14ac:dyDescent="0.35">
      <c r="B11" s="2">
        <f>IF(Table5[[#This Row],[NAMA PROGRAM]]="","",ROW(H8))</f>
        <v>8</v>
      </c>
      <c r="C11" s="2" t="s">
        <v>225</v>
      </c>
      <c r="D11" s="2" t="s">
        <v>13</v>
      </c>
      <c r="F11" s="50" t="s">
        <v>248</v>
      </c>
      <c r="H11">
        <f>IF(Table2[[#This Row],[Kelurahan]]="","",ROW(M8))</f>
        <v>8</v>
      </c>
      <c r="I11" t="s">
        <v>301</v>
      </c>
      <c r="J11" t="s">
        <v>277</v>
      </c>
      <c r="K11" t="s">
        <v>278</v>
      </c>
      <c r="L11" t="s">
        <v>279</v>
      </c>
      <c r="N11">
        <f>IF(Table13[[#This Row],[Sasaran PM]]="","",ROW(Q8))</f>
        <v>8</v>
      </c>
      <c r="O11" t="s">
        <v>213</v>
      </c>
    </row>
    <row r="12" spans="2:15" x14ac:dyDescent="0.35">
      <c r="B12" s="2">
        <f>IF(Table5[[#This Row],[NAMA PROGRAM]]="","",ROW(H9))</f>
        <v>9</v>
      </c>
      <c r="C12" s="2" t="s">
        <v>228</v>
      </c>
      <c r="D12" s="2" t="s">
        <v>13</v>
      </c>
      <c r="F12" s="50" t="s">
        <v>247</v>
      </c>
      <c r="H12">
        <f>IF(Table2[[#This Row],[Kelurahan]]="","",ROW(M9))</f>
        <v>9</v>
      </c>
      <c r="I12" t="s">
        <v>298</v>
      </c>
      <c r="J12" t="s">
        <v>277</v>
      </c>
      <c r="K12" t="s">
        <v>278</v>
      </c>
      <c r="L12" t="s">
        <v>279</v>
      </c>
      <c r="N12">
        <f>IF(Table13[[#This Row],[Sasaran PM]]="","",ROW(Q9))</f>
        <v>9</v>
      </c>
      <c r="O12" t="s">
        <v>214</v>
      </c>
    </row>
    <row r="13" spans="2:15" x14ac:dyDescent="0.35">
      <c r="B13" s="4">
        <f>IF(Table5[[#This Row],[NAMA PROGRAM]]="","",ROW(H10))</f>
        <v>10</v>
      </c>
      <c r="C13" s="4" t="s">
        <v>229</v>
      </c>
      <c r="D13" s="4" t="s">
        <v>13</v>
      </c>
      <c r="F13" s="50" t="s">
        <v>246</v>
      </c>
      <c r="H13">
        <f>IF(Table2[[#This Row],[Kelurahan]]="","",ROW(M10))</f>
        <v>10</v>
      </c>
      <c r="I13" t="s">
        <v>276</v>
      </c>
      <c r="J13" t="s">
        <v>277</v>
      </c>
      <c r="K13" t="s">
        <v>278</v>
      </c>
      <c r="L13" t="s">
        <v>279</v>
      </c>
      <c r="N13">
        <f>IF(Table13[[#This Row],[Sasaran PM]]="","",ROW(Q10))</f>
        <v>10</v>
      </c>
      <c r="O13" t="s">
        <v>215</v>
      </c>
    </row>
    <row r="14" spans="2:15" x14ac:dyDescent="0.35">
      <c r="B14" s="4">
        <f>IF(Table5[[#This Row],[NAMA PROGRAM]]="","",ROW(H11))</f>
        <v>11</v>
      </c>
      <c r="C14" s="4" t="s">
        <v>293</v>
      </c>
      <c r="D14" s="4" t="s">
        <v>13</v>
      </c>
      <c r="F14" s="50" t="s">
        <v>252</v>
      </c>
      <c r="H14">
        <f>IF(Table2[[#This Row],[Kelurahan]]="","",ROW(M11))</f>
        <v>11</v>
      </c>
      <c r="I14" t="s">
        <v>287</v>
      </c>
      <c r="J14" t="s">
        <v>288</v>
      </c>
      <c r="K14" t="s">
        <v>278</v>
      </c>
      <c r="L14" t="s">
        <v>279</v>
      </c>
      <c r="N14">
        <f>IF(Table13[[#This Row],[Sasaran PM]]="","",ROW(Q11))</f>
        <v>11</v>
      </c>
      <c r="O14" t="s">
        <v>216</v>
      </c>
    </row>
    <row r="15" spans="2:15" x14ac:dyDescent="0.35">
      <c r="B15" s="4">
        <f>IF(Table5[[#This Row],[NAMA PROGRAM]]="","",ROW(H12))</f>
        <v>12</v>
      </c>
      <c r="C15" s="4" t="s">
        <v>294</v>
      </c>
      <c r="D15" s="4" t="s">
        <v>13</v>
      </c>
      <c r="F15" s="50" t="s">
        <v>307</v>
      </c>
      <c r="H15">
        <f>IF(Table2[[#This Row],[Kelurahan]]="","",ROW(M12))</f>
        <v>12</v>
      </c>
      <c r="I15" t="s">
        <v>281</v>
      </c>
      <c r="J15" t="s">
        <v>282</v>
      </c>
      <c r="K15" t="s">
        <v>283</v>
      </c>
      <c r="L15" t="s">
        <v>279</v>
      </c>
      <c r="N15">
        <f>IF(Table13[[#This Row],[Sasaran PM]]="","",ROW(Q12))</f>
        <v>12</v>
      </c>
      <c r="O15" t="s">
        <v>220</v>
      </c>
    </row>
    <row r="16" spans="2:15" x14ac:dyDescent="0.35">
      <c r="B16" s="4">
        <f>IF(Table5[[#This Row],[NAMA PROGRAM]]="","",ROW(H13))</f>
        <v>13</v>
      </c>
      <c r="C16" s="4" t="s">
        <v>232</v>
      </c>
      <c r="D16" s="4" t="s">
        <v>233</v>
      </c>
      <c r="F16" s="50" t="s">
        <v>10</v>
      </c>
      <c r="H16">
        <f>IF(Table2[[#This Row],[Kelurahan]]="","",ROW(M13))</f>
        <v>13</v>
      </c>
      <c r="I16" t="s">
        <v>280</v>
      </c>
      <c r="J16" t="s">
        <v>270</v>
      </c>
      <c r="K16" t="s">
        <v>271</v>
      </c>
      <c r="L16" t="s">
        <v>272</v>
      </c>
      <c r="N16">
        <f>IF(Table13[[#This Row],[Sasaran PM]]="","",ROW(Q13))</f>
        <v>13</v>
      </c>
      <c r="O16" t="s">
        <v>239</v>
      </c>
    </row>
    <row r="17" spans="2:12" x14ac:dyDescent="0.35">
      <c r="B17" s="4">
        <f>IF(Table5[[#This Row],[NAMA PROGRAM]]="","",ROW(H14))</f>
        <v>14</v>
      </c>
      <c r="C17" s="4" t="s">
        <v>234</v>
      </c>
      <c r="D17" s="4" t="s">
        <v>233</v>
      </c>
      <c r="F17" s="50"/>
      <c r="H17">
        <f>IF(Table2[[#This Row],[Kelurahan]]="","",ROW(M14))</f>
        <v>14</v>
      </c>
      <c r="I17" t="s">
        <v>269</v>
      </c>
      <c r="J17" t="s">
        <v>270</v>
      </c>
      <c r="K17" t="s">
        <v>271</v>
      </c>
      <c r="L17" t="s">
        <v>272</v>
      </c>
    </row>
    <row r="18" spans="2:12" x14ac:dyDescent="0.35">
      <c r="B18" s="4">
        <f>IF(Table5[[#This Row],[NAMA PROGRAM]]="","",ROW(H15))</f>
        <v>15</v>
      </c>
      <c r="C18" s="4" t="s">
        <v>240</v>
      </c>
      <c r="D18" s="4" t="s">
        <v>233</v>
      </c>
      <c r="H18">
        <f>IF(Table2[[#This Row],[Kelurahan]]="","",ROW(M15))</f>
        <v>15</v>
      </c>
      <c r="I18" t="s">
        <v>174</v>
      </c>
      <c r="J18" t="s">
        <v>87</v>
      </c>
      <c r="K18" t="s">
        <v>155</v>
      </c>
      <c r="L18" t="s">
        <v>150</v>
      </c>
    </row>
    <row r="19" spans="2:12" x14ac:dyDescent="0.35">
      <c r="B19" s="4">
        <f>IF(Table5[[#This Row],[NAMA PROGRAM]]="","",ROW(H16))</f>
        <v>16</v>
      </c>
      <c r="C19" s="4" t="s">
        <v>173</v>
      </c>
      <c r="D19" s="4" t="s">
        <v>171</v>
      </c>
      <c r="H19">
        <f>IF(Table2[[#This Row],[Kelurahan]]="","",ROW(M16))</f>
        <v>16</v>
      </c>
      <c r="I19" t="s">
        <v>165</v>
      </c>
      <c r="J19" t="s">
        <v>35</v>
      </c>
      <c r="K19" t="s">
        <v>155</v>
      </c>
      <c r="L19" t="s">
        <v>150</v>
      </c>
    </row>
    <row r="20" spans="2:12" x14ac:dyDescent="0.35">
      <c r="B20" s="4">
        <f>IF(Table5[[#This Row],[NAMA PROGRAM]]="","",ROW(H17))</f>
        <v>17</v>
      </c>
      <c r="C20" s="4" t="s">
        <v>172</v>
      </c>
      <c r="D20" s="4" t="s">
        <v>171</v>
      </c>
      <c r="H20">
        <f>IF(Table2[[#This Row],[Kelurahan]]="","",ROW(M17))</f>
        <v>17</v>
      </c>
      <c r="I20" t="s">
        <v>166</v>
      </c>
      <c r="J20" t="s">
        <v>35</v>
      </c>
      <c r="K20" t="s">
        <v>155</v>
      </c>
      <c r="L20" t="s">
        <v>150</v>
      </c>
    </row>
    <row r="21" spans="2:12" x14ac:dyDescent="0.35">
      <c r="B21" s="4">
        <f>IF(Table5[[#This Row],[NAMA PROGRAM]]="","",ROW(H18))</f>
        <v>18</v>
      </c>
      <c r="C21" s="4" t="s">
        <v>9</v>
      </c>
      <c r="D21" s="4" t="s">
        <v>1</v>
      </c>
      <c r="H21">
        <f>IF(Table2[[#This Row],[Kelurahan]]="","",ROW(M18))</f>
        <v>18</v>
      </c>
      <c r="I21" t="s">
        <v>154</v>
      </c>
      <c r="J21" t="s">
        <v>35</v>
      </c>
      <c r="K21" t="s">
        <v>155</v>
      </c>
      <c r="L21" t="s">
        <v>150</v>
      </c>
    </row>
    <row r="22" spans="2:12" x14ac:dyDescent="0.35">
      <c r="B22" s="4">
        <f>IF(Table5[[#This Row],[NAMA PROGRAM]]="","",ROW(H19))</f>
        <v>19</v>
      </c>
      <c r="C22" s="4" t="s">
        <v>0</v>
      </c>
      <c r="D22" s="4" t="s">
        <v>1</v>
      </c>
      <c r="H22">
        <f>IF(Table2[[#This Row],[Kelurahan]]="","",ROW(M19))</f>
        <v>19</v>
      </c>
      <c r="I22" t="s">
        <v>227</v>
      </c>
      <c r="J22" t="s">
        <v>35</v>
      </c>
      <c r="K22" t="s">
        <v>155</v>
      </c>
      <c r="L22" t="s">
        <v>150</v>
      </c>
    </row>
    <row r="23" spans="2:12" x14ac:dyDescent="0.35">
      <c r="B23" s="4">
        <f>IF(Table5[[#This Row],[NAMA PROGRAM]]="","",ROW(H20))</f>
        <v>20</v>
      </c>
      <c r="C23" s="4" t="s">
        <v>17</v>
      </c>
      <c r="D23" s="4" t="s">
        <v>1</v>
      </c>
      <c r="H23">
        <f>IF(Table2[[#This Row],[Kelurahan]]="","",ROW(M20))</f>
        <v>20</v>
      </c>
      <c r="I23" t="s">
        <v>168</v>
      </c>
      <c r="J23" t="s">
        <v>35</v>
      </c>
      <c r="K23" t="s">
        <v>155</v>
      </c>
      <c r="L23" t="s">
        <v>150</v>
      </c>
    </row>
    <row r="24" spans="2:12" x14ac:dyDescent="0.35">
      <c r="B24" s="4">
        <f>IF(Table5[[#This Row],[NAMA PROGRAM]]="","",ROW(H21))</f>
        <v>21</v>
      </c>
      <c r="C24" s="4" t="s">
        <v>18</v>
      </c>
      <c r="D24" s="4" t="s">
        <v>1</v>
      </c>
      <c r="H24">
        <f>IF(Table2[[#This Row],[Kelurahan]]="","",ROW(M21))</f>
        <v>21</v>
      </c>
      <c r="I24" t="s">
        <v>259</v>
      </c>
      <c r="J24" t="s">
        <v>256</v>
      </c>
      <c r="K24" t="s">
        <v>257</v>
      </c>
      <c r="L24" t="s">
        <v>258</v>
      </c>
    </row>
    <row r="25" spans="2:12" x14ac:dyDescent="0.35">
      <c r="B25" s="4">
        <f>IF(Table5[[#This Row],[NAMA PROGRAM]]="","",ROW(H22))</f>
        <v>22</v>
      </c>
      <c r="C25" s="4" t="s">
        <v>20</v>
      </c>
      <c r="D25" s="4" t="s">
        <v>1</v>
      </c>
      <c r="H25">
        <f>IF(Table2[[#This Row],[Kelurahan]]="","",ROW(M22))</f>
        <v>22</v>
      </c>
      <c r="I25" t="s">
        <v>255</v>
      </c>
      <c r="J25" t="s">
        <v>256</v>
      </c>
      <c r="K25" t="s">
        <v>257</v>
      </c>
      <c r="L25" t="s">
        <v>258</v>
      </c>
    </row>
    <row r="26" spans="2:12" x14ac:dyDescent="0.35">
      <c r="B26" s="4">
        <f>IF(Table5[[#This Row],[NAMA PROGRAM]]="","",ROW(H23))</f>
        <v>23</v>
      </c>
      <c r="C26" s="4" t="s">
        <v>21</v>
      </c>
      <c r="D26" s="4" t="s">
        <v>1</v>
      </c>
      <c r="H26">
        <f>IF(Table2[[#This Row],[Kelurahan]]="","",ROW(M23))</f>
        <v>23</v>
      </c>
      <c r="I26" t="s">
        <v>261</v>
      </c>
      <c r="J26" t="s">
        <v>263</v>
      </c>
      <c r="K26" t="s">
        <v>260</v>
      </c>
      <c r="L26" t="s">
        <v>262</v>
      </c>
    </row>
    <row r="27" spans="2:12" x14ac:dyDescent="0.35">
      <c r="B27" s="4">
        <f>IF(Table5[[#This Row],[NAMA PROGRAM]]="","",ROW(H24))</f>
        <v>24</v>
      </c>
      <c r="C27" s="4" t="s">
        <v>237</v>
      </c>
      <c r="D27" s="4" t="s">
        <v>1</v>
      </c>
      <c r="H27">
        <f>IF(Table2[[#This Row],[Kelurahan]]="","",ROW(M24))</f>
        <v>24</v>
      </c>
      <c r="I27" t="s">
        <v>267</v>
      </c>
      <c r="J27" t="s">
        <v>264</v>
      </c>
      <c r="K27" t="s">
        <v>260</v>
      </c>
      <c r="L27" t="s">
        <v>262</v>
      </c>
    </row>
    <row r="28" spans="2:12" x14ac:dyDescent="0.35">
      <c r="B28" s="4">
        <f>IF(Table5[[#This Row],[NAMA PROGRAM]]="","",ROW(H25))</f>
        <v>25</v>
      </c>
      <c r="C28" s="4" t="s">
        <v>153</v>
      </c>
      <c r="D28" s="4" t="s">
        <v>1</v>
      </c>
      <c r="H28">
        <f>IF(Table2[[#This Row],[Kelurahan]]="","",ROW(M25))</f>
        <v>25</v>
      </c>
      <c r="I28" t="s">
        <v>265</v>
      </c>
      <c r="J28" t="s">
        <v>264</v>
      </c>
      <c r="K28" t="s">
        <v>260</v>
      </c>
      <c r="L28" t="s">
        <v>262</v>
      </c>
    </row>
    <row r="29" spans="2:12" x14ac:dyDescent="0.35">
      <c r="B29" s="4">
        <f>IF(Table5[[#This Row],[NAMA PROGRAM]]="","",ROW(H26))</f>
        <v>26</v>
      </c>
      <c r="C29" s="4" t="s">
        <v>159</v>
      </c>
      <c r="D29" s="4" t="s">
        <v>1</v>
      </c>
      <c r="H29">
        <f>IF(Table2[[#This Row],[Kelurahan]]="","",ROW(M26))</f>
        <v>26</v>
      </c>
      <c r="I29" t="s">
        <v>268</v>
      </c>
      <c r="J29" t="s">
        <v>268</v>
      </c>
      <c r="K29" t="s">
        <v>260</v>
      </c>
      <c r="L29" t="s">
        <v>262</v>
      </c>
    </row>
    <row r="30" spans="2:12" x14ac:dyDescent="0.35">
      <c r="B30" s="4">
        <f>IF(Table5[[#This Row],[NAMA PROGRAM]]="","",ROW(H27))</f>
        <v>27</v>
      </c>
      <c r="C30" s="4" t="s">
        <v>163</v>
      </c>
      <c r="D30" s="4" t="s">
        <v>1</v>
      </c>
      <c r="H30">
        <f>IF(Table2[[#This Row],[Kelurahan]]="","",ROW(M27))</f>
        <v>27</v>
      </c>
      <c r="I30" t="s">
        <v>221</v>
      </c>
      <c r="J30" t="s">
        <v>222</v>
      </c>
      <c r="K30" t="s">
        <v>223</v>
      </c>
      <c r="L30" t="s">
        <v>150</v>
      </c>
    </row>
    <row r="31" spans="2:12" x14ac:dyDescent="0.35">
      <c r="B31" s="4">
        <f>IF(Table5[[#This Row],[NAMA PROGRAM]]="","",ROW(H28))</f>
        <v>28</v>
      </c>
      <c r="C31" s="4" t="s">
        <v>167</v>
      </c>
      <c r="D31" s="4" t="s">
        <v>1</v>
      </c>
      <c r="H31">
        <f>IF(Table2[[#This Row],[Kelurahan]]="","",ROW(M28))</f>
        <v>28</v>
      </c>
      <c r="I31" t="s">
        <v>243</v>
      </c>
      <c r="J31" t="s">
        <v>242</v>
      </c>
      <c r="K31" t="s">
        <v>157</v>
      </c>
      <c r="L31" t="s">
        <v>150</v>
      </c>
    </row>
    <row r="32" spans="2:12" x14ac:dyDescent="0.35">
      <c r="B32" s="4">
        <f>IF(Table5[[#This Row],[NAMA PROGRAM]]="","",ROW(H29))</f>
        <v>29</v>
      </c>
      <c r="C32" s="4" t="s">
        <v>217</v>
      </c>
      <c r="D32" s="4" t="s">
        <v>1</v>
      </c>
      <c r="H32">
        <f>IF(Table2[[#This Row],[Kelurahan]]="","",ROW(M29))</f>
        <v>29</v>
      </c>
      <c r="I32" t="s">
        <v>244</v>
      </c>
      <c r="J32" t="s">
        <v>245</v>
      </c>
      <c r="K32" t="s">
        <v>157</v>
      </c>
      <c r="L32" t="s">
        <v>150</v>
      </c>
    </row>
    <row r="33" spans="2:12" x14ac:dyDescent="0.35">
      <c r="B33" s="4">
        <f>IF(Table5[[#This Row],[NAMA PROGRAM]]="","",ROW(H30))</f>
        <v>30</v>
      </c>
      <c r="C33" s="4" t="s">
        <v>226</v>
      </c>
      <c r="D33" s="4" t="s">
        <v>1</v>
      </c>
      <c r="H33">
        <f>IF(Table2[[#This Row],[Kelurahan]]="","",ROW(M30))</f>
        <v>30</v>
      </c>
      <c r="I33" t="s">
        <v>158</v>
      </c>
      <c r="J33" t="s">
        <v>156</v>
      </c>
      <c r="K33" t="s">
        <v>157</v>
      </c>
      <c r="L33" t="s">
        <v>150</v>
      </c>
    </row>
    <row r="34" spans="2:12" x14ac:dyDescent="0.35">
      <c r="B34" s="4">
        <f>IF(Table5[[#This Row],[NAMA PROGRAM]]="","",ROW(H31))</f>
        <v>31</v>
      </c>
      <c r="C34" s="4" t="s">
        <v>231</v>
      </c>
      <c r="D34" s="4" t="s">
        <v>1</v>
      </c>
      <c r="H34">
        <f>IF(Table2[[#This Row],[Kelurahan]]="","",ROW(M31))</f>
        <v>31</v>
      </c>
      <c r="I34" t="s">
        <v>236</v>
      </c>
      <c r="J34" t="s">
        <v>235</v>
      </c>
      <c r="K34" t="s">
        <v>157</v>
      </c>
      <c r="L34" t="s">
        <v>150</v>
      </c>
    </row>
    <row r="35" spans="2:12" x14ac:dyDescent="0.35">
      <c r="B35" s="4">
        <f>IF(Table5[[#This Row],[NAMA PROGRAM]]="","",ROW(H32))</f>
        <v>32</v>
      </c>
      <c r="C35" s="4" t="s">
        <v>185</v>
      </c>
      <c r="D35" s="4" t="s">
        <v>1</v>
      </c>
      <c r="H35">
        <f>IF(Table2[[#This Row],[Kelurahan]]="","",ROW(M32))</f>
        <v>32</v>
      </c>
      <c r="I35" t="s">
        <v>32</v>
      </c>
      <c r="J35" t="s">
        <v>32</v>
      </c>
      <c r="K35" t="s">
        <v>152</v>
      </c>
      <c r="L35" t="s">
        <v>150</v>
      </c>
    </row>
    <row r="36" spans="2:12" x14ac:dyDescent="0.35">
      <c r="B36" s="4">
        <f>IF(Table5[[#This Row],[NAMA PROGRAM]]="","",ROW(H33))</f>
        <v>33</v>
      </c>
      <c r="C36" s="4" t="s">
        <v>6</v>
      </c>
      <c r="D36" s="4" t="s">
        <v>4</v>
      </c>
      <c r="H36">
        <f>IF(Table2[[#This Row],[Kelurahan]]="","",ROW(M33))</f>
        <v>33</v>
      </c>
      <c r="I36" t="s">
        <v>33</v>
      </c>
      <c r="J36" t="s">
        <v>32</v>
      </c>
      <c r="K36" t="s">
        <v>152</v>
      </c>
      <c r="L36" t="s">
        <v>150</v>
      </c>
    </row>
    <row r="37" spans="2:12" x14ac:dyDescent="0.35">
      <c r="B37" s="4">
        <f>IF(Table5[[#This Row],[NAMA PROGRAM]]="","",ROW(H34))</f>
        <v>34</v>
      </c>
      <c r="C37" s="4" t="s">
        <v>7</v>
      </c>
      <c r="D37" s="4" t="s">
        <v>4</v>
      </c>
      <c r="H37">
        <f>IF(Table2[[#This Row],[Kelurahan]]="","",ROW(M34))</f>
        <v>34</v>
      </c>
      <c r="I37" t="s">
        <v>34</v>
      </c>
      <c r="J37" t="s">
        <v>32</v>
      </c>
      <c r="K37" t="s">
        <v>152</v>
      </c>
      <c r="L37" t="s">
        <v>150</v>
      </c>
    </row>
    <row r="38" spans="2:12" x14ac:dyDescent="0.35">
      <c r="B38" s="4">
        <f>IF(Table5[[#This Row],[NAMA PROGRAM]]="","",ROW(H35))</f>
        <v>35</v>
      </c>
      <c r="C38" s="4" t="s">
        <v>3</v>
      </c>
      <c r="D38" s="4" t="s">
        <v>4</v>
      </c>
      <c r="H38">
        <f>IF(Table2[[#This Row],[Kelurahan]]="","",ROW(M35))</f>
        <v>35</v>
      </c>
      <c r="I38" t="s">
        <v>35</v>
      </c>
      <c r="J38" t="s">
        <v>32</v>
      </c>
      <c r="K38" t="s">
        <v>152</v>
      </c>
      <c r="L38" t="s">
        <v>150</v>
      </c>
    </row>
    <row r="39" spans="2:12" x14ac:dyDescent="0.35">
      <c r="B39" s="4">
        <f>IF(Table5[[#This Row],[NAMA PROGRAM]]="","",ROW(H36))</f>
        <v>36</v>
      </c>
      <c r="C39" s="4" t="s">
        <v>2</v>
      </c>
      <c r="D39" s="4" t="s">
        <v>4</v>
      </c>
      <c r="H39">
        <f>IF(Table2[[#This Row],[Kelurahan]]="","",ROW(M36))</f>
        <v>36</v>
      </c>
      <c r="I39" t="s">
        <v>36</v>
      </c>
      <c r="J39" t="s">
        <v>136</v>
      </c>
      <c r="K39" t="s">
        <v>152</v>
      </c>
      <c r="L39" t="s">
        <v>150</v>
      </c>
    </row>
    <row r="40" spans="2:12" x14ac:dyDescent="0.35">
      <c r="B40" s="4">
        <f>IF(Table5[[#This Row],[NAMA PROGRAM]]="","",ROW(H37))</f>
        <v>37</v>
      </c>
      <c r="C40" s="4" t="s">
        <v>241</v>
      </c>
      <c r="D40" s="4" t="s">
        <v>4</v>
      </c>
      <c r="H40">
        <f>IF(Table2[[#This Row],[Kelurahan]]="","",ROW(M37))</f>
        <v>37</v>
      </c>
      <c r="I40" t="s">
        <v>37</v>
      </c>
      <c r="J40" t="s">
        <v>136</v>
      </c>
      <c r="K40" t="s">
        <v>152</v>
      </c>
      <c r="L40" t="s">
        <v>150</v>
      </c>
    </row>
    <row r="41" spans="2:12" x14ac:dyDescent="0.35">
      <c r="B41" s="4">
        <f>IF(Table5[[#This Row],[NAMA PROGRAM]]="","",ROW(H38))</f>
        <v>38</v>
      </c>
      <c r="C41" s="4" t="s">
        <v>291</v>
      </c>
      <c r="D41" s="4" t="s">
        <v>306</v>
      </c>
      <c r="H41">
        <f>IF(Table2[[#This Row],[Kelurahan]]="","",ROW(M38))</f>
        <v>38</v>
      </c>
      <c r="I41" t="s">
        <v>137</v>
      </c>
      <c r="J41" t="s">
        <v>136</v>
      </c>
      <c r="K41" t="s">
        <v>152</v>
      </c>
      <c r="L41" t="s">
        <v>150</v>
      </c>
    </row>
    <row r="42" spans="2:12" x14ac:dyDescent="0.35">
      <c r="B42" s="4">
        <f>IF(Table5[[#This Row],[NAMA PROGRAM]]="","",ROW(H39))</f>
        <v>39</v>
      </c>
      <c r="C42" s="4" t="s">
        <v>363</v>
      </c>
      <c r="D42" s="4" t="s">
        <v>306</v>
      </c>
      <c r="H42">
        <f>IF(Table2[[#This Row],[Kelurahan]]="","",ROW(M39))</f>
        <v>39</v>
      </c>
      <c r="I42" t="s">
        <v>38</v>
      </c>
      <c r="J42" t="s">
        <v>136</v>
      </c>
      <c r="K42" t="s">
        <v>152</v>
      </c>
      <c r="L42" t="s">
        <v>150</v>
      </c>
    </row>
    <row r="43" spans="2:12" x14ac:dyDescent="0.35">
      <c r="B43" s="4">
        <f>IF(Table5[[#This Row],[NAMA PROGRAM]]="","",ROW(H40))</f>
        <v>40</v>
      </c>
      <c r="C43" s="4" t="s">
        <v>254</v>
      </c>
      <c r="D43" s="4" t="s">
        <v>248</v>
      </c>
      <c r="H43">
        <f>IF(Table2[[#This Row],[Kelurahan]]="","",ROW(M40))</f>
        <v>40</v>
      </c>
      <c r="I43" t="s">
        <v>39</v>
      </c>
      <c r="J43" t="s">
        <v>136</v>
      </c>
      <c r="K43" t="s">
        <v>152</v>
      </c>
      <c r="L43" t="s">
        <v>150</v>
      </c>
    </row>
    <row r="44" spans="2:12" x14ac:dyDescent="0.35">
      <c r="B44" s="4">
        <f>IF(Table5[[#This Row],[NAMA PROGRAM]]="","",ROW(H41))</f>
        <v>41</v>
      </c>
      <c r="C44" s="4" t="s">
        <v>266</v>
      </c>
      <c r="D44" s="4" t="s">
        <v>248</v>
      </c>
      <c r="H44">
        <f>IF(Table2[[#This Row],[Kelurahan]]="","",ROW(M41))</f>
        <v>41</v>
      </c>
      <c r="I44" t="s">
        <v>40</v>
      </c>
      <c r="J44" t="s">
        <v>136</v>
      </c>
      <c r="K44" t="s">
        <v>152</v>
      </c>
      <c r="L44" t="s">
        <v>150</v>
      </c>
    </row>
    <row r="45" spans="2:12" x14ac:dyDescent="0.35">
      <c r="B45" s="4">
        <f>IF(Table5[[#This Row],[NAMA PROGRAM]]="","",ROW(H42))</f>
        <v>42</v>
      </c>
      <c r="C45" s="4" t="s">
        <v>284</v>
      </c>
      <c r="D45" s="4" t="s">
        <v>248</v>
      </c>
      <c r="H45">
        <f>IF(Table2[[#This Row],[Kelurahan]]="","",ROW(M42))</f>
        <v>42</v>
      </c>
      <c r="I45" t="s">
        <v>41</v>
      </c>
      <c r="J45" t="s">
        <v>42</v>
      </c>
      <c r="K45" t="s">
        <v>152</v>
      </c>
      <c r="L45" t="s">
        <v>150</v>
      </c>
    </row>
    <row r="46" spans="2:12" x14ac:dyDescent="0.35">
      <c r="B46" s="4">
        <f>IF(Table5[[#This Row],[NAMA PROGRAM]]="","",ROW(H43))</f>
        <v>43</v>
      </c>
      <c r="C46" s="4" t="s">
        <v>253</v>
      </c>
      <c r="D46" s="4" t="s">
        <v>246</v>
      </c>
      <c r="H46">
        <f>IF(Table2[[#This Row],[Kelurahan]]="","",ROW(M43))</f>
        <v>43</v>
      </c>
      <c r="I46" t="s">
        <v>42</v>
      </c>
      <c r="J46" t="s">
        <v>42</v>
      </c>
      <c r="K46" t="s">
        <v>152</v>
      </c>
      <c r="L46" t="s">
        <v>150</v>
      </c>
    </row>
    <row r="47" spans="2:12" x14ac:dyDescent="0.35">
      <c r="B47" s="4">
        <f>IF(Table5[[#This Row],[NAMA PROGRAM]]="","",ROW(H44))</f>
        <v>44</v>
      </c>
      <c r="C47" s="4" t="s">
        <v>313</v>
      </c>
      <c r="D47" s="4" t="s">
        <v>246</v>
      </c>
      <c r="H47">
        <f>IF(Table2[[#This Row],[Kelurahan]]="","",ROW(M44))</f>
        <v>44</v>
      </c>
      <c r="I47" t="s">
        <v>43</v>
      </c>
      <c r="J47" t="s">
        <v>42</v>
      </c>
      <c r="K47" t="s">
        <v>152</v>
      </c>
      <c r="L47" t="s">
        <v>150</v>
      </c>
    </row>
    <row r="48" spans="2:12" x14ac:dyDescent="0.35">
      <c r="B48" s="4">
        <f>IF(Table5[[#This Row],[NAMA PROGRAM]]="","",ROW(H45))</f>
        <v>45</v>
      </c>
      <c r="C48" s="4" t="s">
        <v>302</v>
      </c>
      <c r="D48" s="4" t="s">
        <v>307</v>
      </c>
      <c r="H48">
        <f>IF(Table2[[#This Row],[Kelurahan]]="","",ROW(M45))</f>
        <v>45</v>
      </c>
      <c r="I48" t="s">
        <v>138</v>
      </c>
      <c r="J48" t="s">
        <v>42</v>
      </c>
      <c r="K48" t="s">
        <v>152</v>
      </c>
      <c r="L48" t="s">
        <v>150</v>
      </c>
    </row>
    <row r="49" spans="2:12" x14ac:dyDescent="0.35">
      <c r="B49" s="4">
        <f>IF(Table5[[#This Row],[NAMA PROGRAM]]="","",ROW(H46))</f>
        <v>46</v>
      </c>
      <c r="C49" s="51" t="s">
        <v>251</v>
      </c>
      <c r="D49" s="4" t="s">
        <v>307</v>
      </c>
      <c r="H49">
        <f>IF(Table2[[#This Row],[Kelurahan]]="","",ROW(M46))</f>
        <v>46</v>
      </c>
      <c r="I49" t="s">
        <v>44</v>
      </c>
      <c r="J49" t="s">
        <v>42</v>
      </c>
      <c r="K49" t="s">
        <v>152</v>
      </c>
      <c r="L49" t="s">
        <v>150</v>
      </c>
    </row>
    <row r="50" spans="2:12" x14ac:dyDescent="0.35">
      <c r="B50" s="4">
        <f>IF(Table5[[#This Row],[NAMA PROGRAM]]="","",ROW(H47))</f>
        <v>47</v>
      </c>
      <c r="C50" s="4" t="s">
        <v>295</v>
      </c>
      <c r="D50" s="4" t="s">
        <v>307</v>
      </c>
      <c r="H50">
        <f>IF(Table2[[#This Row],[Kelurahan]]="","",ROW(M47))</f>
        <v>47</v>
      </c>
      <c r="I50" t="s">
        <v>45</v>
      </c>
      <c r="J50" t="s">
        <v>139</v>
      </c>
      <c r="K50" t="s">
        <v>152</v>
      </c>
      <c r="L50" t="s">
        <v>150</v>
      </c>
    </row>
    <row r="51" spans="2:12" x14ac:dyDescent="0.35">
      <c r="B51" s="4">
        <f>IF(Table5[[#This Row],[NAMA PROGRAM]]="","",ROW(H48))</f>
        <v>48</v>
      </c>
      <c r="C51" s="4" t="s">
        <v>323</v>
      </c>
      <c r="D51" s="4" t="s">
        <v>307</v>
      </c>
      <c r="H51">
        <f>IF(Table2[[#This Row],[Kelurahan]]="","",ROW(M48))</f>
        <v>48</v>
      </c>
      <c r="I51" t="s">
        <v>46</v>
      </c>
      <c r="J51" t="s">
        <v>139</v>
      </c>
      <c r="K51" t="s">
        <v>152</v>
      </c>
      <c r="L51" t="s">
        <v>150</v>
      </c>
    </row>
    <row r="52" spans="2:12" x14ac:dyDescent="0.35">
      <c r="B52" s="4">
        <f>IF(Table5[[#This Row],[NAMA PROGRAM]]="","",ROW(H49))</f>
        <v>49</v>
      </c>
      <c r="C52" s="4" t="s">
        <v>324</v>
      </c>
      <c r="D52" s="4" t="s">
        <v>307</v>
      </c>
      <c r="H52">
        <f>IF(Table2[[#This Row],[Kelurahan]]="","",ROW(M49))</f>
        <v>49</v>
      </c>
      <c r="I52" t="s">
        <v>47</v>
      </c>
      <c r="J52" t="s">
        <v>139</v>
      </c>
      <c r="K52" t="s">
        <v>152</v>
      </c>
      <c r="L52" t="s">
        <v>150</v>
      </c>
    </row>
    <row r="53" spans="2:12" x14ac:dyDescent="0.35">
      <c r="B53" s="4">
        <f>IF(Table5[[#This Row],[NAMA PROGRAM]]="","",ROW(H50))</f>
        <v>50</v>
      </c>
      <c r="C53" s="51" t="s">
        <v>250</v>
      </c>
      <c r="D53" s="4" t="s">
        <v>252</v>
      </c>
      <c r="H53">
        <f>IF(Table2[[#This Row],[Kelurahan]]="","",ROW(M50))</f>
        <v>50</v>
      </c>
      <c r="I53" t="s">
        <v>48</v>
      </c>
      <c r="J53" t="s">
        <v>139</v>
      </c>
      <c r="K53" t="s">
        <v>152</v>
      </c>
      <c r="L53" t="s">
        <v>150</v>
      </c>
    </row>
    <row r="54" spans="2:12" x14ac:dyDescent="0.35">
      <c r="B54" s="4">
        <f>IF(Table5[[#This Row],[NAMA PROGRAM]]="","",ROW(H51))</f>
        <v>51</v>
      </c>
      <c r="C54" s="4" t="s">
        <v>169</v>
      </c>
      <c r="D54" s="4" t="s">
        <v>252</v>
      </c>
      <c r="H54">
        <f>IF(Table2[[#This Row],[Kelurahan]]="","",ROW(M51))</f>
        <v>51</v>
      </c>
      <c r="I54" t="s">
        <v>49</v>
      </c>
      <c r="J54" t="s">
        <v>139</v>
      </c>
      <c r="K54" t="s">
        <v>152</v>
      </c>
      <c r="L54" t="s">
        <v>150</v>
      </c>
    </row>
    <row r="55" spans="2:12" x14ac:dyDescent="0.35">
      <c r="B55" s="4">
        <f>IF(Table5[[#This Row],[NAMA PROGRAM]]="","",ROW(H52))</f>
        <v>52</v>
      </c>
      <c r="C55" s="51" t="s">
        <v>249</v>
      </c>
      <c r="D55" s="4" t="s">
        <v>252</v>
      </c>
      <c r="H55">
        <f>IF(Table2[[#This Row],[Kelurahan]]="","",ROW(M52))</f>
        <v>52</v>
      </c>
      <c r="I55" t="s">
        <v>50</v>
      </c>
      <c r="J55" t="s">
        <v>139</v>
      </c>
      <c r="K55" t="s">
        <v>152</v>
      </c>
      <c r="L55" t="s">
        <v>150</v>
      </c>
    </row>
    <row r="56" spans="2:12" x14ac:dyDescent="0.35">
      <c r="B56" s="4">
        <f>IF(Table5[[#This Row],[NAMA PROGRAM]]="","",ROW(H53))</f>
        <v>53</v>
      </c>
      <c r="C56" s="4" t="s">
        <v>308</v>
      </c>
      <c r="D56" s="4" t="s">
        <v>252</v>
      </c>
      <c r="H56">
        <f>IF(Table2[[#This Row],[Kelurahan]]="","",ROW(M53))</f>
        <v>53</v>
      </c>
      <c r="I56" t="s">
        <v>51</v>
      </c>
      <c r="J56" t="s">
        <v>140</v>
      </c>
      <c r="K56" t="s">
        <v>152</v>
      </c>
      <c r="L56" t="s">
        <v>150</v>
      </c>
    </row>
    <row r="57" spans="2:12" x14ac:dyDescent="0.35">
      <c r="B57" s="4">
        <f>IF(Table5[[#This Row],[NAMA PROGRAM]]="","",ROW(H54))</f>
        <v>54</v>
      </c>
      <c r="C57" s="4" t="s">
        <v>310</v>
      </c>
      <c r="D57" s="4" t="s">
        <v>252</v>
      </c>
      <c r="H57">
        <f>IF(Table2[[#This Row],[Kelurahan]]="","",ROW(M54))</f>
        <v>54</v>
      </c>
      <c r="I57" t="s">
        <v>52</v>
      </c>
      <c r="J57" t="s">
        <v>140</v>
      </c>
      <c r="K57" t="s">
        <v>152</v>
      </c>
      <c r="L57" t="s">
        <v>150</v>
      </c>
    </row>
    <row r="58" spans="2:12" x14ac:dyDescent="0.35">
      <c r="B58" s="4">
        <f>IF(Table5[[#This Row],[NAMA PROGRAM]]="","",ROW(H55))</f>
        <v>55</v>
      </c>
      <c r="C58" s="4" t="s">
        <v>311</v>
      </c>
      <c r="D58" s="4" t="s">
        <v>252</v>
      </c>
      <c r="H58">
        <f>IF(Table2[[#This Row],[Kelurahan]]="","",ROW(M55))</f>
        <v>55</v>
      </c>
      <c r="I58" t="s">
        <v>53</v>
      </c>
      <c r="J58" t="s">
        <v>140</v>
      </c>
      <c r="K58" t="s">
        <v>152</v>
      </c>
      <c r="L58" t="s">
        <v>150</v>
      </c>
    </row>
    <row r="59" spans="2:12" x14ac:dyDescent="0.35">
      <c r="B59" s="4">
        <f>IF(Table5[[#This Row],[NAMA PROGRAM]]="","",ROW(H56))</f>
        <v>56</v>
      </c>
      <c r="C59" s="4" t="s">
        <v>345</v>
      </c>
      <c r="D59" s="4" t="s">
        <v>252</v>
      </c>
      <c r="H59">
        <f>IF(Table2[[#This Row],[Kelurahan]]="","",ROW(M56))</f>
        <v>56</v>
      </c>
      <c r="I59" t="s">
        <v>54</v>
      </c>
      <c r="J59" t="s">
        <v>140</v>
      </c>
      <c r="K59" t="s">
        <v>152</v>
      </c>
      <c r="L59" t="s">
        <v>150</v>
      </c>
    </row>
    <row r="60" spans="2:12" x14ac:dyDescent="0.35">
      <c r="B60" s="4">
        <f>IF(Table5[[#This Row],[NAMA PROGRAM]]="","",ROW(H57))</f>
        <v>57</v>
      </c>
      <c r="C60" s="4" t="s">
        <v>346</v>
      </c>
      <c r="D60" s="4" t="s">
        <v>252</v>
      </c>
      <c r="H60">
        <f>IF(Table2[[#This Row],[Kelurahan]]="","",ROW(M57))</f>
        <v>57</v>
      </c>
      <c r="I60" t="s">
        <v>55</v>
      </c>
      <c r="J60" t="s">
        <v>140</v>
      </c>
      <c r="K60" t="s">
        <v>152</v>
      </c>
      <c r="L60" t="s">
        <v>150</v>
      </c>
    </row>
    <row r="61" spans="2:12" x14ac:dyDescent="0.35">
      <c r="B61" s="4">
        <f>IF(Table5[[#This Row],[NAMA PROGRAM]]="","",ROW(H58))</f>
        <v>58</v>
      </c>
      <c r="C61" s="4" t="s">
        <v>350</v>
      </c>
      <c r="D61" s="4" t="s">
        <v>252</v>
      </c>
      <c r="H61">
        <f>IF(Table2[[#This Row],[Kelurahan]]="","",ROW(M58))</f>
        <v>58</v>
      </c>
      <c r="I61" t="s">
        <v>56</v>
      </c>
      <c r="J61" t="s">
        <v>140</v>
      </c>
      <c r="K61" t="s">
        <v>152</v>
      </c>
      <c r="L61" t="s">
        <v>150</v>
      </c>
    </row>
    <row r="62" spans="2:12" x14ac:dyDescent="0.35">
      <c r="B62" s="4">
        <f>IF(Table5[[#This Row],[NAMA PROGRAM]]="","",ROW(H59))</f>
        <v>59</v>
      </c>
      <c r="C62" s="4" t="s">
        <v>355</v>
      </c>
      <c r="D62" s="4" t="s">
        <v>252</v>
      </c>
      <c r="H62">
        <f>IF(Table2[[#This Row],[Kelurahan]]="","",ROW(M59))</f>
        <v>59</v>
      </c>
      <c r="I62" t="s">
        <v>57</v>
      </c>
      <c r="J62" t="s">
        <v>140</v>
      </c>
      <c r="K62" t="s">
        <v>152</v>
      </c>
      <c r="L62" t="s">
        <v>150</v>
      </c>
    </row>
    <row r="63" spans="2:12" x14ac:dyDescent="0.35">
      <c r="B63" s="4">
        <f>IF(Table5[[#This Row],[NAMA PROGRAM]]="","",ROW(H60))</f>
        <v>60</v>
      </c>
      <c r="C63" s="4" t="s">
        <v>360</v>
      </c>
      <c r="D63" s="4" t="s">
        <v>252</v>
      </c>
      <c r="H63">
        <f>IF(Table2[[#This Row],[Kelurahan]]="","",ROW(M60))</f>
        <v>60</v>
      </c>
      <c r="I63" t="s">
        <v>58</v>
      </c>
      <c r="J63" t="s">
        <v>141</v>
      </c>
      <c r="K63" t="s">
        <v>152</v>
      </c>
      <c r="L63" t="s">
        <v>150</v>
      </c>
    </row>
    <row r="64" spans="2:12" x14ac:dyDescent="0.35">
      <c r="B64" s="4">
        <f>IF(Table5[[#This Row],[NAMA PROGRAM]]="","",ROW(H61))</f>
        <v>61</v>
      </c>
      <c r="C64" s="4" t="s">
        <v>361</v>
      </c>
      <c r="D64" s="4" t="s">
        <v>252</v>
      </c>
      <c r="H64">
        <f>IF(Table2[[#This Row],[Kelurahan]]="","",ROW(M61))</f>
        <v>61</v>
      </c>
      <c r="I64" t="s">
        <v>59</v>
      </c>
      <c r="J64" t="s">
        <v>141</v>
      </c>
      <c r="K64" t="s">
        <v>152</v>
      </c>
      <c r="L64" t="s">
        <v>150</v>
      </c>
    </row>
    <row r="65" spans="2:12" x14ac:dyDescent="0.35">
      <c r="B65" s="4">
        <f>IF(Table5[[#This Row],[NAMA PROGRAM]]="","",ROW(H62))</f>
        <v>62</v>
      </c>
      <c r="C65" s="4" t="s">
        <v>370</v>
      </c>
      <c r="D65" s="4" t="s">
        <v>252</v>
      </c>
      <c r="H65">
        <f>IF(Table2[[#This Row],[Kelurahan]]="","",ROW(M62))</f>
        <v>62</v>
      </c>
      <c r="I65" t="s">
        <v>60</v>
      </c>
      <c r="J65" t="s">
        <v>141</v>
      </c>
      <c r="K65" t="s">
        <v>152</v>
      </c>
      <c r="L65" t="s">
        <v>150</v>
      </c>
    </row>
    <row r="66" spans="2:12" x14ac:dyDescent="0.35">
      <c r="B66" s="4">
        <f>IF(Table5[[#This Row],[NAMA PROGRAM]]="","",ROW(H63))</f>
        <v>63</v>
      </c>
      <c r="C66" s="4" t="s">
        <v>374</v>
      </c>
      <c r="D66" s="4" t="s">
        <v>252</v>
      </c>
      <c r="H66">
        <f>IF(Table2[[#This Row],[Kelurahan]]="","",ROW(M63))</f>
        <v>63</v>
      </c>
      <c r="I66" t="s">
        <v>61</v>
      </c>
      <c r="J66" t="s">
        <v>141</v>
      </c>
      <c r="K66" t="s">
        <v>152</v>
      </c>
      <c r="L66" t="s">
        <v>150</v>
      </c>
    </row>
    <row r="67" spans="2:12" x14ac:dyDescent="0.35">
      <c r="B67" s="4">
        <f>IF(Table5[[#This Row],[NAMA PROGRAM]]="","",ROW(H64))</f>
        <v>64</v>
      </c>
      <c r="C67" s="4" t="s">
        <v>377</v>
      </c>
      <c r="D67" s="4" t="s">
        <v>252</v>
      </c>
      <c r="H67">
        <f>IF(Table2[[#This Row],[Kelurahan]]="","",ROW(M64))</f>
        <v>64</v>
      </c>
      <c r="I67" t="s">
        <v>62</v>
      </c>
      <c r="J67" t="s">
        <v>141</v>
      </c>
      <c r="K67" t="s">
        <v>152</v>
      </c>
      <c r="L67" t="s">
        <v>150</v>
      </c>
    </row>
    <row r="68" spans="2:12" x14ac:dyDescent="0.35">
      <c r="B68" s="4">
        <f>IF(Table5[[#This Row],[NAMA PROGRAM]]="","",ROW(H65))</f>
        <v>65</v>
      </c>
      <c r="C68" s="4" t="s">
        <v>19</v>
      </c>
      <c r="D68" s="4" t="s">
        <v>10</v>
      </c>
      <c r="H68">
        <f>IF(Table2[[#This Row],[Kelurahan]]="","",ROW(M65))</f>
        <v>65</v>
      </c>
      <c r="I68" t="s">
        <v>63</v>
      </c>
      <c r="J68" t="s">
        <v>141</v>
      </c>
      <c r="K68" t="s">
        <v>152</v>
      </c>
      <c r="L68" t="s">
        <v>150</v>
      </c>
    </row>
    <row r="69" spans="2:12" x14ac:dyDescent="0.35">
      <c r="B69" s="4">
        <f>IF(Table5[[#This Row],[NAMA PROGRAM]]="","",ROW(H66))</f>
        <v>66</v>
      </c>
      <c r="C69" s="4" t="s">
        <v>390</v>
      </c>
      <c r="D69" s="4" t="s">
        <v>10</v>
      </c>
      <c r="H69">
        <f>IF(Table2[[#This Row],[Kelurahan]]="","",ROW(M66))</f>
        <v>66</v>
      </c>
      <c r="I69" t="s">
        <v>64</v>
      </c>
      <c r="J69" t="s">
        <v>141</v>
      </c>
      <c r="K69" t="s">
        <v>152</v>
      </c>
      <c r="L69" t="s">
        <v>150</v>
      </c>
    </row>
    <row r="70" spans="2:12" x14ac:dyDescent="0.35">
      <c r="B70" s="4">
        <f>IF(Table5[[#This Row],[NAMA PROGRAM]]="","",ROW(H67))</f>
        <v>67</v>
      </c>
      <c r="C70" s="4" t="s">
        <v>201</v>
      </c>
      <c r="D70" s="4" t="s">
        <v>10</v>
      </c>
      <c r="H70">
        <f>IF(Table2[[#This Row],[Kelurahan]]="","",ROW(M67))</f>
        <v>67</v>
      </c>
      <c r="I70" t="s">
        <v>65</v>
      </c>
      <c r="J70" t="s">
        <v>141</v>
      </c>
      <c r="K70" t="s">
        <v>152</v>
      </c>
      <c r="L70" t="s">
        <v>150</v>
      </c>
    </row>
    <row r="71" spans="2:12" x14ac:dyDescent="0.35">
      <c r="B71" s="4">
        <f>IF(Table5[[#This Row],[NAMA PROGRAM]]="","",ROW(H68))</f>
        <v>68</v>
      </c>
      <c r="C71" s="4" t="s">
        <v>230</v>
      </c>
      <c r="D71" s="4" t="s">
        <v>10</v>
      </c>
      <c r="H71">
        <f>IF(Table2[[#This Row],[Kelurahan]]="","",ROW(M68))</f>
        <v>68</v>
      </c>
      <c r="I71" t="s">
        <v>66</v>
      </c>
      <c r="J71" t="s">
        <v>141</v>
      </c>
      <c r="K71" t="s">
        <v>152</v>
      </c>
      <c r="L71" t="s">
        <v>150</v>
      </c>
    </row>
    <row r="72" spans="2:12" x14ac:dyDescent="0.35">
      <c r="B72" s="4">
        <f>IF(Table5[[#This Row],[NAMA PROGRAM]]="","",ROW(H69))</f>
        <v>69</v>
      </c>
      <c r="C72" s="4" t="s">
        <v>384</v>
      </c>
      <c r="D72" s="4" t="s">
        <v>13</v>
      </c>
      <c r="H72">
        <f>IF(Table2[[#This Row],[Kelurahan]]="","",ROW(M69))</f>
        <v>69</v>
      </c>
      <c r="I72" t="s">
        <v>67</v>
      </c>
      <c r="J72" t="s">
        <v>141</v>
      </c>
      <c r="K72" t="s">
        <v>152</v>
      </c>
      <c r="L72" t="s">
        <v>150</v>
      </c>
    </row>
    <row r="73" spans="2:12" x14ac:dyDescent="0.35">
      <c r="B73" s="4">
        <f>IF(Table5[[#This Row],[NAMA PROGRAM]]="","",ROW(H70))</f>
        <v>70</v>
      </c>
      <c r="C73" s="4" t="s">
        <v>385</v>
      </c>
      <c r="D73" s="4" t="s">
        <v>1</v>
      </c>
      <c r="H73">
        <f>IF(Table2[[#This Row],[Kelurahan]]="","",ROW(M70))</f>
        <v>70</v>
      </c>
      <c r="I73" t="s">
        <v>68</v>
      </c>
      <c r="J73" t="s">
        <v>141</v>
      </c>
      <c r="K73" t="s">
        <v>152</v>
      </c>
      <c r="L73" t="s">
        <v>150</v>
      </c>
    </row>
    <row r="74" spans="2:12" x14ac:dyDescent="0.35">
      <c r="B74" s="4">
        <f>IF(Table5[[#This Row],[NAMA PROGRAM]]="","",ROW(H71))</f>
        <v>71</v>
      </c>
      <c r="C74" s="4" t="s">
        <v>387</v>
      </c>
      <c r="D74" s="4" t="s">
        <v>1</v>
      </c>
      <c r="H74">
        <f>IF(Table2[[#This Row],[Kelurahan]]="","",ROW(M71))</f>
        <v>71</v>
      </c>
      <c r="I74" t="s">
        <v>69</v>
      </c>
      <c r="J74" t="s">
        <v>142</v>
      </c>
      <c r="K74" t="s">
        <v>152</v>
      </c>
      <c r="L74" t="s">
        <v>150</v>
      </c>
    </row>
    <row r="75" spans="2:12" x14ac:dyDescent="0.35">
      <c r="B75" s="4">
        <f>IF(Table5[[#This Row],[NAMA PROGRAM]]="","",ROW(H72))</f>
        <v>72</v>
      </c>
      <c r="C75" s="4" t="s">
        <v>388</v>
      </c>
      <c r="D75" s="4" t="s">
        <v>1</v>
      </c>
      <c r="H75">
        <f>IF(Table2[[#This Row],[Kelurahan]]="","",ROW(M72))</f>
        <v>72</v>
      </c>
      <c r="I75" t="s">
        <v>70</v>
      </c>
      <c r="J75" t="s">
        <v>142</v>
      </c>
      <c r="K75" t="s">
        <v>152</v>
      </c>
      <c r="L75" t="s">
        <v>150</v>
      </c>
    </row>
    <row r="76" spans="2:12" x14ac:dyDescent="0.35">
      <c r="B76" s="4">
        <f>IF(Table5[[#This Row],[NAMA PROGRAM]]="","",ROW(H73))</f>
        <v>73</v>
      </c>
      <c r="C76" s="4" t="s">
        <v>389</v>
      </c>
      <c r="D76" s="4" t="s">
        <v>1</v>
      </c>
      <c r="H76">
        <f>IF(Table2[[#This Row],[Kelurahan]]="","",ROW(M73))</f>
        <v>73</v>
      </c>
      <c r="I76" t="s">
        <v>71</v>
      </c>
      <c r="J76" t="s">
        <v>142</v>
      </c>
      <c r="K76" t="s">
        <v>152</v>
      </c>
      <c r="L76" t="s">
        <v>150</v>
      </c>
    </row>
    <row r="77" spans="2:12" x14ac:dyDescent="0.35">
      <c r="B77" s="4">
        <f>IF(Table5[[#This Row],[NAMA PROGRAM]]="","",ROW(H74))</f>
        <v>74</v>
      </c>
      <c r="C77" s="4" t="s">
        <v>393</v>
      </c>
      <c r="D77" s="4" t="s">
        <v>13</v>
      </c>
      <c r="H77">
        <f>IF(Table2[[#This Row],[Kelurahan]]="","",ROW(M74))</f>
        <v>74</v>
      </c>
      <c r="I77" t="s">
        <v>72</v>
      </c>
      <c r="J77" t="s">
        <v>142</v>
      </c>
      <c r="K77" t="s">
        <v>152</v>
      </c>
      <c r="L77" t="s">
        <v>150</v>
      </c>
    </row>
    <row r="78" spans="2:12" x14ac:dyDescent="0.35">
      <c r="B78" s="4">
        <f>IF(Table5[[#This Row],[NAMA PROGRAM]]="","",ROW(H75))</f>
        <v>75</v>
      </c>
      <c r="C78" s="4" t="s">
        <v>396</v>
      </c>
      <c r="D78" s="4" t="s">
        <v>13</v>
      </c>
      <c r="H78">
        <f>IF(Table2[[#This Row],[Kelurahan]]="","",ROW(M75))</f>
        <v>75</v>
      </c>
      <c r="I78" t="s">
        <v>73</v>
      </c>
      <c r="J78" t="s">
        <v>142</v>
      </c>
      <c r="K78" t="s">
        <v>152</v>
      </c>
      <c r="L78" t="s">
        <v>150</v>
      </c>
    </row>
    <row r="79" spans="2:12" x14ac:dyDescent="0.35">
      <c r="B79" s="4">
        <f>IF(Table5[[#This Row],[NAMA PROGRAM]]="","",ROW(H76))</f>
        <v>76</v>
      </c>
      <c r="C79" s="4" t="s">
        <v>475</v>
      </c>
      <c r="D79" s="4" t="s">
        <v>13</v>
      </c>
      <c r="H79">
        <f>IF(Table2[[#This Row],[Kelurahan]]="","",ROW(M76))</f>
        <v>76</v>
      </c>
      <c r="I79" t="s">
        <v>74</v>
      </c>
      <c r="J79" t="s">
        <v>142</v>
      </c>
      <c r="K79" t="s">
        <v>152</v>
      </c>
      <c r="L79" t="s">
        <v>150</v>
      </c>
    </row>
    <row r="80" spans="2:12" x14ac:dyDescent="0.35">
      <c r="B80" s="4">
        <f>IF(Table5[[#This Row],[NAMA PROGRAM]]="","",ROW(H77))</f>
        <v>77</v>
      </c>
      <c r="C80" s="4" t="s">
        <v>498</v>
      </c>
      <c r="D80" s="4" t="s">
        <v>1</v>
      </c>
      <c r="H80">
        <f>IF(Table2[[#This Row],[Kelurahan]]="","",ROW(M77))</f>
        <v>77</v>
      </c>
      <c r="I80" t="s">
        <v>77</v>
      </c>
      <c r="J80" t="s">
        <v>143</v>
      </c>
      <c r="K80" t="s">
        <v>152</v>
      </c>
      <c r="L80" t="s">
        <v>150</v>
      </c>
    </row>
    <row r="81" spans="2:12" x14ac:dyDescent="0.35">
      <c r="B81" s="4">
        <f>IF(Table5[[#This Row],[NAMA PROGRAM]]="","",ROW(H78))</f>
        <v>78</v>
      </c>
      <c r="C81" s="4" t="s">
        <v>502</v>
      </c>
      <c r="D81" s="4" t="s">
        <v>252</v>
      </c>
      <c r="H81">
        <f>IF(Table2[[#This Row],[Kelurahan]]="","",ROW(M78))</f>
        <v>78</v>
      </c>
      <c r="I81" t="s">
        <v>78</v>
      </c>
      <c r="J81" t="s">
        <v>143</v>
      </c>
      <c r="K81" t="s">
        <v>152</v>
      </c>
      <c r="L81" t="s">
        <v>150</v>
      </c>
    </row>
    <row r="82" spans="2:12" x14ac:dyDescent="0.35">
      <c r="B82" s="4">
        <f>IF(Table5[[#This Row],[NAMA PROGRAM]]="","",ROW(H79))</f>
        <v>79</v>
      </c>
      <c r="C82" s="4" t="s">
        <v>503</v>
      </c>
      <c r="D82" s="4" t="s">
        <v>252</v>
      </c>
      <c r="H82">
        <f>IF(Table2[[#This Row],[Kelurahan]]="","",ROW(M79))</f>
        <v>79</v>
      </c>
      <c r="I82" t="s">
        <v>75</v>
      </c>
      <c r="J82" t="s">
        <v>143</v>
      </c>
      <c r="K82" t="s">
        <v>152</v>
      </c>
      <c r="L82" t="s">
        <v>150</v>
      </c>
    </row>
    <row r="83" spans="2:12" x14ac:dyDescent="0.35">
      <c r="B83" s="4">
        <f>IF(Table5[[#This Row],[NAMA PROGRAM]]="","",ROW(H80))</f>
        <v>80</v>
      </c>
      <c r="C83" s="4" t="s">
        <v>504</v>
      </c>
      <c r="D83" s="4" t="s">
        <v>252</v>
      </c>
      <c r="H83">
        <f>IF(Table2[[#This Row],[Kelurahan]]="","",ROW(M80))</f>
        <v>80</v>
      </c>
      <c r="I83" t="s">
        <v>76</v>
      </c>
      <c r="J83" t="s">
        <v>143</v>
      </c>
      <c r="K83" t="s">
        <v>152</v>
      </c>
      <c r="L83" t="s">
        <v>150</v>
      </c>
    </row>
    <row r="84" spans="2:12" x14ac:dyDescent="0.35">
      <c r="B84" s="4">
        <f>IF(Table5[[#This Row],[NAMA PROGRAM]]="","",ROW(H81))</f>
        <v>81</v>
      </c>
      <c r="C84" s="4" t="s">
        <v>505</v>
      </c>
      <c r="D84" s="4" t="s">
        <v>252</v>
      </c>
      <c r="H84">
        <f>IF(Table2[[#This Row],[Kelurahan]]="","",ROW(M81))</f>
        <v>81</v>
      </c>
      <c r="I84" t="s">
        <v>79</v>
      </c>
      <c r="J84" t="s">
        <v>143</v>
      </c>
      <c r="K84" t="s">
        <v>152</v>
      </c>
      <c r="L84" t="s">
        <v>150</v>
      </c>
    </row>
    <row r="85" spans="2:12" x14ac:dyDescent="0.35">
      <c r="H85">
        <f>IF(Table2[[#This Row],[Kelurahan]]="","",ROW(M82))</f>
        <v>82</v>
      </c>
      <c r="I85" t="s">
        <v>80</v>
      </c>
      <c r="J85" t="s">
        <v>143</v>
      </c>
      <c r="K85" t="s">
        <v>152</v>
      </c>
      <c r="L85" t="s">
        <v>150</v>
      </c>
    </row>
    <row r="86" spans="2:12" x14ac:dyDescent="0.35">
      <c r="H86">
        <f>IF(Table2[[#This Row],[Kelurahan]]="","",ROW(M83))</f>
        <v>83</v>
      </c>
      <c r="I86" t="s">
        <v>83</v>
      </c>
      <c r="J86" t="s">
        <v>144</v>
      </c>
      <c r="K86" t="s">
        <v>152</v>
      </c>
      <c r="L86" t="s">
        <v>150</v>
      </c>
    </row>
    <row r="87" spans="2:12" x14ac:dyDescent="0.35">
      <c r="H87">
        <f>IF(Table2[[#This Row],[Kelurahan]]="","",ROW(M84))</f>
        <v>84</v>
      </c>
      <c r="I87" t="s">
        <v>81</v>
      </c>
      <c r="J87" t="s">
        <v>144</v>
      </c>
      <c r="K87" t="s">
        <v>152</v>
      </c>
      <c r="L87" t="s">
        <v>150</v>
      </c>
    </row>
    <row r="88" spans="2:12" x14ac:dyDescent="0.35">
      <c r="H88">
        <f>IF(Table2[[#This Row],[Kelurahan]]="","",ROW(M85))</f>
        <v>85</v>
      </c>
      <c r="I88" t="s">
        <v>82</v>
      </c>
      <c r="J88" t="s">
        <v>144</v>
      </c>
      <c r="K88" t="s">
        <v>152</v>
      </c>
      <c r="L88" t="s">
        <v>150</v>
      </c>
    </row>
    <row r="89" spans="2:12" x14ac:dyDescent="0.35">
      <c r="H89">
        <f>IF(Table2[[#This Row],[Kelurahan]]="","",ROW(M86))</f>
        <v>86</v>
      </c>
      <c r="I89" t="s">
        <v>84</v>
      </c>
      <c r="J89" t="s">
        <v>144</v>
      </c>
      <c r="K89" t="s">
        <v>152</v>
      </c>
      <c r="L89" t="s">
        <v>150</v>
      </c>
    </row>
    <row r="90" spans="2:12" x14ac:dyDescent="0.35">
      <c r="H90">
        <f>IF(Table2[[#This Row],[Kelurahan]]="","",ROW(M87))</f>
        <v>87</v>
      </c>
      <c r="I90" t="s">
        <v>85</v>
      </c>
      <c r="J90" t="s">
        <v>144</v>
      </c>
      <c r="K90" t="s">
        <v>152</v>
      </c>
      <c r="L90" t="s">
        <v>150</v>
      </c>
    </row>
    <row r="91" spans="2:12" x14ac:dyDescent="0.35">
      <c r="H91">
        <f>IF(Table2[[#This Row],[Kelurahan]]="","",ROW(M88))</f>
        <v>88</v>
      </c>
      <c r="I91" t="s">
        <v>86</v>
      </c>
      <c r="J91" t="s">
        <v>87</v>
      </c>
      <c r="K91" t="s">
        <v>152</v>
      </c>
      <c r="L91" t="s">
        <v>150</v>
      </c>
    </row>
    <row r="92" spans="2:12" x14ac:dyDescent="0.35">
      <c r="H92">
        <f>IF(Table2[[#This Row],[Kelurahan]]="","",ROW(M89))</f>
        <v>89</v>
      </c>
      <c r="I92" t="s">
        <v>87</v>
      </c>
      <c r="J92" t="s">
        <v>87</v>
      </c>
      <c r="K92" t="s">
        <v>152</v>
      </c>
      <c r="L92" t="s">
        <v>150</v>
      </c>
    </row>
    <row r="93" spans="2:12" x14ac:dyDescent="0.35">
      <c r="H93">
        <f>IF(Table2[[#This Row],[Kelurahan]]="","",ROW(M90))</f>
        <v>90</v>
      </c>
      <c r="I93" t="s">
        <v>88</v>
      </c>
      <c r="J93" t="s">
        <v>87</v>
      </c>
      <c r="K93" t="s">
        <v>152</v>
      </c>
      <c r="L93" t="s">
        <v>150</v>
      </c>
    </row>
    <row r="94" spans="2:12" x14ac:dyDescent="0.35">
      <c r="H94">
        <f>IF(Table2[[#This Row],[Kelurahan]]="","",ROW(M91))</f>
        <v>91</v>
      </c>
      <c r="I94" t="s">
        <v>89</v>
      </c>
      <c r="J94" t="s">
        <v>87</v>
      </c>
      <c r="K94" t="s">
        <v>152</v>
      </c>
      <c r="L94" t="s">
        <v>150</v>
      </c>
    </row>
    <row r="95" spans="2:12" x14ac:dyDescent="0.35">
      <c r="H95">
        <f>IF(Table2[[#This Row],[Kelurahan]]="","",ROW(M92))</f>
        <v>92</v>
      </c>
      <c r="I95" t="s">
        <v>90</v>
      </c>
      <c r="J95" t="s">
        <v>87</v>
      </c>
      <c r="K95" t="s">
        <v>152</v>
      </c>
      <c r="L95" t="s">
        <v>150</v>
      </c>
    </row>
    <row r="96" spans="2:12" x14ac:dyDescent="0.35">
      <c r="H96">
        <f>IF(Table2[[#This Row],[Kelurahan]]="","",ROW(M93))</f>
        <v>93</v>
      </c>
      <c r="I96" t="s">
        <v>224</v>
      </c>
      <c r="J96" t="s">
        <v>145</v>
      </c>
      <c r="K96" t="s">
        <v>152</v>
      </c>
      <c r="L96" t="s">
        <v>150</v>
      </c>
    </row>
    <row r="97" spans="8:12" x14ac:dyDescent="0.35">
      <c r="H97">
        <f>IF(Table2[[#This Row],[Kelurahan]]="","",ROW(M94))</f>
        <v>94</v>
      </c>
      <c r="I97" t="s">
        <v>91</v>
      </c>
      <c r="J97" t="s">
        <v>145</v>
      </c>
      <c r="K97" t="s">
        <v>152</v>
      </c>
      <c r="L97" t="s">
        <v>150</v>
      </c>
    </row>
    <row r="98" spans="8:12" x14ac:dyDescent="0.35">
      <c r="H98">
        <f>IF(Table2[[#This Row],[Kelurahan]]="","",ROW(M95))</f>
        <v>95</v>
      </c>
      <c r="I98" t="s">
        <v>92</v>
      </c>
      <c r="J98" t="s">
        <v>145</v>
      </c>
      <c r="K98" t="s">
        <v>152</v>
      </c>
      <c r="L98" t="s">
        <v>150</v>
      </c>
    </row>
    <row r="99" spans="8:12" x14ac:dyDescent="0.35">
      <c r="H99">
        <f>IF(Table2[[#This Row],[Kelurahan]]="","",ROW(M96))</f>
        <v>96</v>
      </c>
      <c r="I99" t="s">
        <v>93</v>
      </c>
      <c r="J99" t="s">
        <v>145</v>
      </c>
      <c r="K99" t="s">
        <v>152</v>
      </c>
      <c r="L99" t="s">
        <v>150</v>
      </c>
    </row>
    <row r="100" spans="8:12" x14ac:dyDescent="0.35">
      <c r="H100">
        <f>IF(Table2[[#This Row],[Kelurahan]]="","",ROW(M97))</f>
        <v>97</v>
      </c>
      <c r="I100" t="s">
        <v>94</v>
      </c>
      <c r="J100" t="s">
        <v>145</v>
      </c>
      <c r="K100" t="s">
        <v>152</v>
      </c>
      <c r="L100" t="s">
        <v>150</v>
      </c>
    </row>
    <row r="101" spans="8:12" x14ac:dyDescent="0.35">
      <c r="H101">
        <f>IF(Table2[[#This Row],[Kelurahan]]="","",ROW(M98))</f>
        <v>98</v>
      </c>
      <c r="I101" t="s">
        <v>95</v>
      </c>
      <c r="J101" t="s">
        <v>145</v>
      </c>
      <c r="K101" t="s">
        <v>152</v>
      </c>
      <c r="L101" t="s">
        <v>150</v>
      </c>
    </row>
    <row r="102" spans="8:12" x14ac:dyDescent="0.35">
      <c r="H102">
        <f>IF(Table2[[#This Row],[Kelurahan]]="","",ROW(M99))</f>
        <v>99</v>
      </c>
      <c r="I102" t="s">
        <v>96</v>
      </c>
      <c r="J102" t="s">
        <v>100</v>
      </c>
      <c r="K102" t="s">
        <v>152</v>
      </c>
      <c r="L102" t="s">
        <v>150</v>
      </c>
    </row>
    <row r="103" spans="8:12" x14ac:dyDescent="0.35">
      <c r="H103">
        <f>IF(Table2[[#This Row],[Kelurahan]]="","",ROW(M100))</f>
        <v>100</v>
      </c>
      <c r="I103" t="s">
        <v>97</v>
      </c>
      <c r="J103" t="s">
        <v>100</v>
      </c>
      <c r="K103" t="s">
        <v>152</v>
      </c>
      <c r="L103" t="s">
        <v>150</v>
      </c>
    </row>
    <row r="104" spans="8:12" x14ac:dyDescent="0.35">
      <c r="H104">
        <f>IF(Table2[[#This Row],[Kelurahan]]="","",ROW(M101))</f>
        <v>101</v>
      </c>
      <c r="I104" t="s">
        <v>98</v>
      </c>
      <c r="J104" t="s">
        <v>100</v>
      </c>
      <c r="K104" t="s">
        <v>152</v>
      </c>
      <c r="L104" t="s">
        <v>150</v>
      </c>
    </row>
    <row r="105" spans="8:12" x14ac:dyDescent="0.35">
      <c r="H105">
        <f>IF(Table2[[#This Row],[Kelurahan]]="","",ROW(M102))</f>
        <v>102</v>
      </c>
      <c r="I105" t="s">
        <v>99</v>
      </c>
      <c r="J105" t="s">
        <v>100</v>
      </c>
      <c r="K105" t="s">
        <v>152</v>
      </c>
      <c r="L105" t="s">
        <v>150</v>
      </c>
    </row>
    <row r="106" spans="8:12" x14ac:dyDescent="0.35">
      <c r="H106">
        <f>IF(Table2[[#This Row],[Kelurahan]]="","",ROW(M103))</f>
        <v>103</v>
      </c>
      <c r="I106" t="s">
        <v>100</v>
      </c>
      <c r="J106" t="s">
        <v>100</v>
      </c>
      <c r="K106" t="s">
        <v>152</v>
      </c>
      <c r="L106" t="s">
        <v>150</v>
      </c>
    </row>
    <row r="107" spans="8:12" x14ac:dyDescent="0.35">
      <c r="H107">
        <f>IF(Table2[[#This Row],[Kelurahan]]="","",ROW(M104))</f>
        <v>104</v>
      </c>
      <c r="I107" t="s">
        <v>101</v>
      </c>
      <c r="J107" t="s">
        <v>100</v>
      </c>
      <c r="K107" t="s">
        <v>152</v>
      </c>
      <c r="L107" t="s">
        <v>150</v>
      </c>
    </row>
    <row r="108" spans="8:12" x14ac:dyDescent="0.35">
      <c r="H108">
        <f>IF(Table2[[#This Row],[Kelurahan]]="","",ROW(M105))</f>
        <v>105</v>
      </c>
      <c r="I108" t="s">
        <v>102</v>
      </c>
      <c r="J108" t="s">
        <v>146</v>
      </c>
      <c r="K108" t="s">
        <v>152</v>
      </c>
      <c r="L108" t="s">
        <v>150</v>
      </c>
    </row>
    <row r="109" spans="8:12" x14ac:dyDescent="0.35">
      <c r="H109">
        <f>IF(Table2[[#This Row],[Kelurahan]]="","",ROW(M106))</f>
        <v>106</v>
      </c>
      <c r="I109" t="s">
        <v>103</v>
      </c>
      <c r="J109" t="s">
        <v>146</v>
      </c>
      <c r="K109" t="s">
        <v>152</v>
      </c>
      <c r="L109" t="s">
        <v>150</v>
      </c>
    </row>
    <row r="110" spans="8:12" x14ac:dyDescent="0.35">
      <c r="H110">
        <f>IF(Table2[[#This Row],[Kelurahan]]="","",ROW(M107))</f>
        <v>107</v>
      </c>
      <c r="I110" t="s">
        <v>104</v>
      </c>
      <c r="J110" t="s">
        <v>146</v>
      </c>
      <c r="K110" t="s">
        <v>152</v>
      </c>
      <c r="L110" t="s">
        <v>150</v>
      </c>
    </row>
    <row r="111" spans="8:12" x14ac:dyDescent="0.35">
      <c r="H111">
        <f>IF(Table2[[#This Row],[Kelurahan]]="","",ROW(M108))</f>
        <v>108</v>
      </c>
      <c r="I111" t="s">
        <v>105</v>
      </c>
      <c r="J111" t="s">
        <v>146</v>
      </c>
      <c r="K111" t="s">
        <v>152</v>
      </c>
      <c r="L111" t="s">
        <v>150</v>
      </c>
    </row>
    <row r="112" spans="8:12" x14ac:dyDescent="0.35">
      <c r="H112">
        <f>IF(Table2[[#This Row],[Kelurahan]]="","",ROW(M109))</f>
        <v>109</v>
      </c>
      <c r="I112" t="s">
        <v>106</v>
      </c>
      <c r="J112" t="s">
        <v>146</v>
      </c>
      <c r="K112" t="s">
        <v>152</v>
      </c>
      <c r="L112" t="s">
        <v>150</v>
      </c>
    </row>
    <row r="113" spans="8:12" x14ac:dyDescent="0.35">
      <c r="H113">
        <f>IF(Table2[[#This Row],[Kelurahan]]="","",ROW(M110))</f>
        <v>110</v>
      </c>
      <c r="I113" t="s">
        <v>107</v>
      </c>
      <c r="J113" t="s">
        <v>146</v>
      </c>
      <c r="K113" t="s">
        <v>152</v>
      </c>
      <c r="L113" t="s">
        <v>150</v>
      </c>
    </row>
    <row r="114" spans="8:12" x14ac:dyDescent="0.35">
      <c r="H114">
        <f>IF(Table2[[#This Row],[Kelurahan]]="","",ROW(M111))</f>
        <v>111</v>
      </c>
      <c r="I114" t="s">
        <v>108</v>
      </c>
      <c r="J114" t="s">
        <v>146</v>
      </c>
      <c r="K114" t="s">
        <v>152</v>
      </c>
      <c r="L114" t="s">
        <v>150</v>
      </c>
    </row>
    <row r="115" spans="8:12" x14ac:dyDescent="0.35">
      <c r="H115">
        <f>IF(Table2[[#This Row],[Kelurahan]]="","",ROW(M112))</f>
        <v>112</v>
      </c>
      <c r="I115" t="s">
        <v>109</v>
      </c>
      <c r="J115" t="s">
        <v>109</v>
      </c>
      <c r="K115" t="s">
        <v>152</v>
      </c>
      <c r="L115" t="s">
        <v>150</v>
      </c>
    </row>
    <row r="116" spans="8:12" x14ac:dyDescent="0.35">
      <c r="H116">
        <f>IF(Table2[[#This Row],[Kelurahan]]="","",ROW(M113))</f>
        <v>113</v>
      </c>
      <c r="I116" t="s">
        <v>110</v>
      </c>
      <c r="J116" t="s">
        <v>109</v>
      </c>
      <c r="K116" t="s">
        <v>152</v>
      </c>
      <c r="L116" t="s">
        <v>150</v>
      </c>
    </row>
    <row r="117" spans="8:12" x14ac:dyDescent="0.35">
      <c r="H117">
        <f>IF(Table2[[#This Row],[Kelurahan]]="","",ROW(M114))</f>
        <v>114</v>
      </c>
      <c r="I117" t="s">
        <v>111</v>
      </c>
      <c r="J117" t="s">
        <v>109</v>
      </c>
      <c r="K117" t="s">
        <v>152</v>
      </c>
      <c r="L117" t="s">
        <v>150</v>
      </c>
    </row>
    <row r="118" spans="8:12" x14ac:dyDescent="0.35">
      <c r="H118">
        <f>IF(Table2[[#This Row],[Kelurahan]]="","",ROW(M115))</f>
        <v>115</v>
      </c>
      <c r="I118" t="s">
        <v>112</v>
      </c>
      <c r="J118" t="s">
        <v>109</v>
      </c>
      <c r="K118" t="s">
        <v>152</v>
      </c>
      <c r="L118" t="s">
        <v>150</v>
      </c>
    </row>
    <row r="119" spans="8:12" x14ac:dyDescent="0.35">
      <c r="H119">
        <f>IF(Table2[[#This Row],[Kelurahan]]="","",ROW(M116))</f>
        <v>116</v>
      </c>
      <c r="I119" t="s">
        <v>113</v>
      </c>
      <c r="J119" t="s">
        <v>147</v>
      </c>
      <c r="K119" t="s">
        <v>152</v>
      </c>
      <c r="L119" t="s">
        <v>150</v>
      </c>
    </row>
    <row r="120" spans="8:12" x14ac:dyDescent="0.35">
      <c r="H120">
        <f>IF(Table2[[#This Row],[Kelurahan]]="","",ROW(M117))</f>
        <v>117</v>
      </c>
      <c r="I120" t="s">
        <v>114</v>
      </c>
      <c r="J120" t="s">
        <v>147</v>
      </c>
      <c r="K120" t="s">
        <v>152</v>
      </c>
      <c r="L120" t="s">
        <v>150</v>
      </c>
    </row>
    <row r="121" spans="8:12" x14ac:dyDescent="0.35">
      <c r="H121">
        <f>IF(Table2[[#This Row],[Kelurahan]]="","",ROW(M118))</f>
        <v>118</v>
      </c>
      <c r="I121" t="s">
        <v>115</v>
      </c>
      <c r="J121" t="s">
        <v>147</v>
      </c>
      <c r="K121" t="s">
        <v>152</v>
      </c>
      <c r="L121" t="s">
        <v>150</v>
      </c>
    </row>
    <row r="122" spans="8:12" x14ac:dyDescent="0.35">
      <c r="H122">
        <f>IF(Table2[[#This Row],[Kelurahan]]="","",ROW(M119))</f>
        <v>119</v>
      </c>
      <c r="I122" t="s">
        <v>116</v>
      </c>
      <c r="J122" t="s">
        <v>147</v>
      </c>
      <c r="K122" t="s">
        <v>152</v>
      </c>
      <c r="L122" t="s">
        <v>150</v>
      </c>
    </row>
    <row r="123" spans="8:12" x14ac:dyDescent="0.35">
      <c r="H123">
        <f>IF(Table2[[#This Row],[Kelurahan]]="","",ROW(M120))</f>
        <v>120</v>
      </c>
      <c r="I123" t="s">
        <v>117</v>
      </c>
      <c r="J123" t="s">
        <v>147</v>
      </c>
      <c r="K123" t="s">
        <v>152</v>
      </c>
      <c r="L123" t="s">
        <v>150</v>
      </c>
    </row>
    <row r="124" spans="8:12" x14ac:dyDescent="0.35">
      <c r="H124">
        <f>IF(Table2[[#This Row],[Kelurahan]]="","",ROW(M121))</f>
        <v>121</v>
      </c>
      <c r="I124" t="s">
        <v>118</v>
      </c>
      <c r="J124" t="s">
        <v>148</v>
      </c>
      <c r="K124" t="s">
        <v>152</v>
      </c>
      <c r="L124" t="s">
        <v>150</v>
      </c>
    </row>
    <row r="125" spans="8:12" x14ac:dyDescent="0.35">
      <c r="H125">
        <f>IF(Table2[[#This Row],[Kelurahan]]="","",ROW(M122))</f>
        <v>122</v>
      </c>
      <c r="I125" t="s">
        <v>119</v>
      </c>
      <c r="J125" t="s">
        <v>148</v>
      </c>
      <c r="K125" t="s">
        <v>152</v>
      </c>
      <c r="L125" t="s">
        <v>150</v>
      </c>
    </row>
    <row r="126" spans="8:12" x14ac:dyDescent="0.35">
      <c r="H126">
        <f>IF(Table2[[#This Row],[Kelurahan]]="","",ROW(M123))</f>
        <v>123</v>
      </c>
      <c r="I126" t="s">
        <v>120</v>
      </c>
      <c r="J126" t="s">
        <v>148</v>
      </c>
      <c r="K126" t="s">
        <v>152</v>
      </c>
      <c r="L126" t="s">
        <v>150</v>
      </c>
    </row>
    <row r="127" spans="8:12" x14ac:dyDescent="0.35">
      <c r="H127">
        <f>IF(Table2[[#This Row],[Kelurahan]]="","",ROW(M124))</f>
        <v>124</v>
      </c>
      <c r="I127" t="s">
        <v>121</v>
      </c>
      <c r="J127" t="s">
        <v>148</v>
      </c>
      <c r="K127" t="s">
        <v>152</v>
      </c>
      <c r="L127" t="s">
        <v>150</v>
      </c>
    </row>
    <row r="128" spans="8:12" x14ac:dyDescent="0.35">
      <c r="H128">
        <f>IF(Table2[[#This Row],[Kelurahan]]="","",ROW(M125))</f>
        <v>125</v>
      </c>
      <c r="I128" t="s">
        <v>122</v>
      </c>
      <c r="J128" t="s">
        <v>148</v>
      </c>
      <c r="K128" t="s">
        <v>152</v>
      </c>
      <c r="L128" t="s">
        <v>150</v>
      </c>
    </row>
    <row r="129" spans="8:12" x14ac:dyDescent="0.35">
      <c r="H129">
        <f>IF(Table2[[#This Row],[Kelurahan]]="","",ROW(M126))</f>
        <v>126</v>
      </c>
      <c r="I129" t="s">
        <v>123</v>
      </c>
      <c r="J129" t="s">
        <v>148</v>
      </c>
      <c r="K129" t="s">
        <v>152</v>
      </c>
      <c r="L129" t="s">
        <v>150</v>
      </c>
    </row>
    <row r="130" spans="8:12" x14ac:dyDescent="0.35">
      <c r="H130">
        <f>IF(Table2[[#This Row],[Kelurahan]]="","",ROW(M127))</f>
        <v>127</v>
      </c>
      <c r="I130" t="s">
        <v>124</v>
      </c>
      <c r="J130" t="s">
        <v>148</v>
      </c>
      <c r="K130" t="s">
        <v>152</v>
      </c>
      <c r="L130" t="s">
        <v>150</v>
      </c>
    </row>
    <row r="131" spans="8:12" x14ac:dyDescent="0.35">
      <c r="H131">
        <f>IF(Table2[[#This Row],[Kelurahan]]="","",ROW(M128))</f>
        <v>128</v>
      </c>
      <c r="I131" t="s">
        <v>125</v>
      </c>
      <c r="J131" t="s">
        <v>149</v>
      </c>
      <c r="K131" t="s">
        <v>152</v>
      </c>
      <c r="L131" t="s">
        <v>150</v>
      </c>
    </row>
    <row r="132" spans="8:12" x14ac:dyDescent="0.35">
      <c r="H132">
        <f>IF(Table2[[#This Row],[Kelurahan]]="","",ROW(M129))</f>
        <v>129</v>
      </c>
      <c r="I132" t="s">
        <v>126</v>
      </c>
      <c r="J132" t="s">
        <v>149</v>
      </c>
      <c r="K132" t="s">
        <v>152</v>
      </c>
      <c r="L132" t="s">
        <v>150</v>
      </c>
    </row>
    <row r="133" spans="8:12" x14ac:dyDescent="0.35">
      <c r="H133">
        <f>IF(Table2[[#This Row],[Kelurahan]]="","",ROW(M130))</f>
        <v>130</v>
      </c>
      <c r="I133" t="s">
        <v>127</v>
      </c>
      <c r="J133" t="s">
        <v>149</v>
      </c>
      <c r="K133" t="s">
        <v>152</v>
      </c>
      <c r="L133" t="s">
        <v>150</v>
      </c>
    </row>
    <row r="134" spans="8:12" x14ac:dyDescent="0.35">
      <c r="H134">
        <f>IF(Table2[[#This Row],[Kelurahan]]="","",ROW(M131))</f>
        <v>131</v>
      </c>
      <c r="I134" t="s">
        <v>128</v>
      </c>
      <c r="J134" t="s">
        <v>149</v>
      </c>
      <c r="K134" t="s">
        <v>152</v>
      </c>
      <c r="L134" t="s">
        <v>150</v>
      </c>
    </row>
    <row r="135" spans="8:12" x14ac:dyDescent="0.35">
      <c r="H135">
        <f>IF(Table2[[#This Row],[Kelurahan]]="","",ROW(M132))</f>
        <v>132</v>
      </c>
      <c r="I135" t="s">
        <v>129</v>
      </c>
      <c r="J135" t="s">
        <v>132</v>
      </c>
      <c r="K135" t="s">
        <v>152</v>
      </c>
      <c r="L135" t="s">
        <v>150</v>
      </c>
    </row>
    <row r="136" spans="8:12" x14ac:dyDescent="0.35">
      <c r="H136">
        <f>IF(Table2[[#This Row],[Kelurahan]]="","",ROW(M133))</f>
        <v>133</v>
      </c>
      <c r="I136" t="s">
        <v>130</v>
      </c>
      <c r="J136" t="s">
        <v>132</v>
      </c>
      <c r="K136" t="s">
        <v>152</v>
      </c>
      <c r="L136" t="s">
        <v>150</v>
      </c>
    </row>
    <row r="137" spans="8:12" x14ac:dyDescent="0.35">
      <c r="H137">
        <f>IF(Table2[[#This Row],[Kelurahan]]="","",ROW(M134))</f>
        <v>134</v>
      </c>
      <c r="I137" t="s">
        <v>131</v>
      </c>
      <c r="J137" t="s">
        <v>132</v>
      </c>
      <c r="K137" t="s">
        <v>152</v>
      </c>
      <c r="L137" t="s">
        <v>150</v>
      </c>
    </row>
    <row r="138" spans="8:12" x14ac:dyDescent="0.35">
      <c r="H138">
        <f>IF(Table2[[#This Row],[Kelurahan]]="","",ROW(M135))</f>
        <v>135</v>
      </c>
      <c r="I138" t="s">
        <v>132</v>
      </c>
      <c r="J138" t="s">
        <v>132</v>
      </c>
      <c r="K138" t="s">
        <v>152</v>
      </c>
      <c r="L138" t="s">
        <v>150</v>
      </c>
    </row>
    <row r="139" spans="8:12" x14ac:dyDescent="0.35">
      <c r="H139">
        <f>IF(Table2[[#This Row],[Kelurahan]]="","",ROW(M136))</f>
        <v>136</v>
      </c>
      <c r="I139" t="s">
        <v>133</v>
      </c>
      <c r="J139" t="s">
        <v>132</v>
      </c>
      <c r="K139" t="s">
        <v>152</v>
      </c>
      <c r="L139" t="s">
        <v>150</v>
      </c>
    </row>
    <row r="140" spans="8:12" x14ac:dyDescent="0.35">
      <c r="H140">
        <f>IF(Table2[[#This Row],[Kelurahan]]="","",ROW(M137))</f>
        <v>137</v>
      </c>
      <c r="I140" t="s">
        <v>134</v>
      </c>
      <c r="J140" t="s">
        <v>132</v>
      </c>
      <c r="K140" t="s">
        <v>152</v>
      </c>
      <c r="L140" t="s">
        <v>150</v>
      </c>
    </row>
    <row r="141" spans="8:12" x14ac:dyDescent="0.35">
      <c r="H141">
        <f>IF(Table2[[#This Row],[Kelurahan]]="","",ROW(M138))</f>
        <v>138</v>
      </c>
      <c r="I141" t="s">
        <v>135</v>
      </c>
      <c r="J141" t="s">
        <v>132</v>
      </c>
      <c r="K141" t="s">
        <v>152</v>
      </c>
      <c r="L141" t="s">
        <v>150</v>
      </c>
    </row>
    <row r="142" spans="8:12" x14ac:dyDescent="0.35">
      <c r="H142">
        <f>IF(Table2[[#This Row],[Kelurahan]]="","",ROW(M139))</f>
        <v>139</v>
      </c>
      <c r="I142" t="s">
        <v>273</v>
      </c>
      <c r="J142" t="s">
        <v>274</v>
      </c>
      <c r="K142" t="s">
        <v>275</v>
      </c>
      <c r="L142" t="s">
        <v>262</v>
      </c>
    </row>
    <row r="143" spans="8:12" x14ac:dyDescent="0.35">
      <c r="H143">
        <f>IF(Table2[[#This Row],[Kelurahan]]="","",ROW(M140))</f>
        <v>140</v>
      </c>
      <c r="I143" t="s">
        <v>305</v>
      </c>
      <c r="J143" t="s">
        <v>304</v>
      </c>
      <c r="K143" t="s">
        <v>157</v>
      </c>
      <c r="L143" t="s">
        <v>150</v>
      </c>
    </row>
    <row r="144" spans="8:12" x14ac:dyDescent="0.35">
      <c r="H144">
        <f>IF(Table2[[#This Row],[Kelurahan]]="","",ROW(M141))</f>
        <v>141</v>
      </c>
      <c r="I144" t="s">
        <v>309</v>
      </c>
      <c r="J144" t="s">
        <v>277</v>
      </c>
      <c r="K144" t="s">
        <v>278</v>
      </c>
      <c r="L144" t="s">
        <v>279</v>
      </c>
    </row>
    <row r="145" spans="8:12" x14ac:dyDescent="0.35">
      <c r="H145">
        <f>IF(Table2[[#This Row],[Kelurahan]]="","",ROW(M142))</f>
        <v>142</v>
      </c>
      <c r="I145" t="s">
        <v>312</v>
      </c>
      <c r="J145" t="s">
        <v>277</v>
      </c>
      <c r="K145" t="s">
        <v>278</v>
      </c>
      <c r="L145" t="s">
        <v>279</v>
      </c>
    </row>
    <row r="146" spans="8:12" x14ac:dyDescent="0.35">
      <c r="H146">
        <f>IF(Table2[[#This Row],[Kelurahan]]="","",ROW(M143))</f>
        <v>143</v>
      </c>
      <c r="I146" t="s">
        <v>314</v>
      </c>
      <c r="J146" t="s">
        <v>277</v>
      </c>
      <c r="K146" t="s">
        <v>278</v>
      </c>
      <c r="L146" t="s">
        <v>279</v>
      </c>
    </row>
    <row r="147" spans="8:12" x14ac:dyDescent="0.35">
      <c r="H147">
        <f>IF(Table2[[#This Row],[Kelurahan]]="","",ROW(M144))</f>
        <v>144</v>
      </c>
      <c r="I147" t="s">
        <v>316</v>
      </c>
      <c r="J147" t="s">
        <v>286</v>
      </c>
      <c r="K147" t="s">
        <v>278</v>
      </c>
      <c r="L147" t="s">
        <v>279</v>
      </c>
    </row>
    <row r="148" spans="8:12" x14ac:dyDescent="0.35">
      <c r="H148">
        <f>IF(Table2[[#This Row],[Kelurahan]]="","",ROW(M145))</f>
        <v>145</v>
      </c>
      <c r="I148" t="s">
        <v>317</v>
      </c>
      <c r="J148" t="s">
        <v>277</v>
      </c>
      <c r="K148" t="s">
        <v>278</v>
      </c>
      <c r="L148" t="s">
        <v>279</v>
      </c>
    </row>
    <row r="149" spans="8:12" x14ac:dyDescent="0.35">
      <c r="H149">
        <f>IF(Table2[[#This Row],[Kelurahan]]="","",ROW(M146))</f>
        <v>146</v>
      </c>
      <c r="I149" t="s">
        <v>318</v>
      </c>
      <c r="J149" t="s">
        <v>286</v>
      </c>
      <c r="K149" t="s">
        <v>278</v>
      </c>
      <c r="L149" t="s">
        <v>279</v>
      </c>
    </row>
    <row r="150" spans="8:12" x14ac:dyDescent="0.35">
      <c r="H150">
        <f>IF(Table2[[#This Row],[Kelurahan]]="","",ROW(M147))</f>
        <v>147</v>
      </c>
      <c r="I150" t="s">
        <v>319</v>
      </c>
      <c r="J150" t="s">
        <v>297</v>
      </c>
      <c r="K150" t="s">
        <v>278</v>
      </c>
      <c r="L150" t="s">
        <v>279</v>
      </c>
    </row>
    <row r="151" spans="8:12" x14ac:dyDescent="0.35">
      <c r="H151">
        <f>IF(Table2[[#This Row],[Kelurahan]]="","",ROW(M148))</f>
        <v>148</v>
      </c>
      <c r="I151" t="s">
        <v>320</v>
      </c>
      <c r="J151" t="s">
        <v>321</v>
      </c>
      <c r="K151" t="s">
        <v>278</v>
      </c>
      <c r="L151" t="s">
        <v>279</v>
      </c>
    </row>
    <row r="152" spans="8:12" x14ac:dyDescent="0.35">
      <c r="H152">
        <f>IF(Table2[[#This Row],[Kelurahan]]="","",ROW(M149))</f>
        <v>149</v>
      </c>
      <c r="I152" t="s">
        <v>322</v>
      </c>
      <c r="J152" t="s">
        <v>277</v>
      </c>
      <c r="K152" t="s">
        <v>278</v>
      </c>
      <c r="L152" t="s">
        <v>279</v>
      </c>
    </row>
    <row r="153" spans="8:12" x14ac:dyDescent="0.35">
      <c r="H153">
        <f>IF(Table2[[#This Row],[Kelurahan]]="","",ROW(M150))</f>
        <v>150</v>
      </c>
      <c r="I153" t="s">
        <v>347</v>
      </c>
      <c r="J153" t="s">
        <v>348</v>
      </c>
      <c r="K153" t="s">
        <v>278</v>
      </c>
      <c r="L153" t="s">
        <v>279</v>
      </c>
    </row>
    <row r="154" spans="8:12" x14ac:dyDescent="0.35">
      <c r="H154">
        <f>IF(Table2[[#This Row],[Kelurahan]]="","",ROW(M151))</f>
        <v>151</v>
      </c>
      <c r="I154" t="s">
        <v>349</v>
      </c>
      <c r="J154" t="s">
        <v>286</v>
      </c>
      <c r="K154" t="s">
        <v>278</v>
      </c>
      <c r="L154" t="s">
        <v>279</v>
      </c>
    </row>
    <row r="155" spans="8:12" x14ac:dyDescent="0.35">
      <c r="H155">
        <f>IF(Table2[[#This Row],[Kelurahan]]="","",ROW(M152))</f>
        <v>152</v>
      </c>
      <c r="I155" t="s">
        <v>351</v>
      </c>
      <c r="J155" t="s">
        <v>352</v>
      </c>
      <c r="K155" t="s">
        <v>278</v>
      </c>
      <c r="L155" t="s">
        <v>279</v>
      </c>
    </row>
    <row r="156" spans="8:12" x14ac:dyDescent="0.35">
      <c r="H156">
        <f>IF(Table2[[#This Row],[Kelurahan]]="","",ROW(M153))</f>
        <v>153</v>
      </c>
      <c r="I156" t="s">
        <v>353</v>
      </c>
      <c r="J156" t="s">
        <v>286</v>
      </c>
      <c r="K156" t="s">
        <v>278</v>
      </c>
      <c r="L156" t="s">
        <v>279</v>
      </c>
    </row>
    <row r="157" spans="8:12" x14ac:dyDescent="0.35">
      <c r="H157">
        <f>IF(Table2[[#This Row],[Kelurahan]]="","",ROW(M154))</f>
        <v>154</v>
      </c>
      <c r="I157" t="s">
        <v>354</v>
      </c>
      <c r="J157" t="s">
        <v>300</v>
      </c>
      <c r="K157" t="s">
        <v>278</v>
      </c>
      <c r="L157" t="s">
        <v>279</v>
      </c>
    </row>
    <row r="158" spans="8:12" x14ac:dyDescent="0.35">
      <c r="H158">
        <f>IF(Table2[[#This Row],[Kelurahan]]="","",ROW(M155))</f>
        <v>155</v>
      </c>
      <c r="I158" t="s">
        <v>356</v>
      </c>
      <c r="J158" t="s">
        <v>357</v>
      </c>
      <c r="K158" t="s">
        <v>358</v>
      </c>
      <c r="L158" t="s">
        <v>279</v>
      </c>
    </row>
    <row r="159" spans="8:12" x14ac:dyDescent="0.35">
      <c r="H159">
        <f>IF(Table2[[#This Row],[Kelurahan]]="","",ROW(M156))</f>
        <v>156</v>
      </c>
      <c r="I159" t="s">
        <v>359</v>
      </c>
      <c r="J159" t="s">
        <v>357</v>
      </c>
      <c r="K159" t="s">
        <v>358</v>
      </c>
      <c r="L159" t="s">
        <v>279</v>
      </c>
    </row>
    <row r="160" spans="8:12" x14ac:dyDescent="0.35">
      <c r="H160">
        <f>IF(Table2[[#This Row],[Kelurahan]]="","",ROW(M157))</f>
        <v>157</v>
      </c>
      <c r="I160" t="s">
        <v>362</v>
      </c>
      <c r="J160" t="s">
        <v>348</v>
      </c>
      <c r="K160" t="s">
        <v>278</v>
      </c>
      <c r="L160" t="s">
        <v>279</v>
      </c>
    </row>
    <row r="161" spans="8:12" x14ac:dyDescent="0.35">
      <c r="H161">
        <f>IF(Table2[[#This Row],[Kelurahan]]="","",ROW(M158))</f>
        <v>158</v>
      </c>
      <c r="I161" t="s">
        <v>364</v>
      </c>
      <c r="J161" t="s">
        <v>365</v>
      </c>
      <c r="K161" t="s">
        <v>278</v>
      </c>
      <c r="L161" t="s">
        <v>279</v>
      </c>
    </row>
    <row r="162" spans="8:12" x14ac:dyDescent="0.35">
      <c r="H162">
        <f>IF(Table2[[#This Row],[Kelurahan]]="","",ROW(M159))</f>
        <v>159</v>
      </c>
      <c r="I162" t="s">
        <v>366</v>
      </c>
      <c r="J162" t="s">
        <v>286</v>
      </c>
      <c r="K162" t="s">
        <v>278</v>
      </c>
      <c r="L162" t="s">
        <v>279</v>
      </c>
    </row>
    <row r="163" spans="8:12" x14ac:dyDescent="0.35">
      <c r="H163">
        <f>IF(Table2[[#This Row],[Kelurahan]]="","",ROW(M160))</f>
        <v>160</v>
      </c>
      <c r="I163" t="s">
        <v>368</v>
      </c>
      <c r="J163" t="s">
        <v>300</v>
      </c>
      <c r="K163" t="s">
        <v>278</v>
      </c>
      <c r="L163" t="s">
        <v>279</v>
      </c>
    </row>
    <row r="164" spans="8:12" x14ac:dyDescent="0.35">
      <c r="H164">
        <f>IF(Table2[[#This Row],[Kelurahan]]="","",ROW(M161))</f>
        <v>161</v>
      </c>
      <c r="I164" t="s">
        <v>369</v>
      </c>
      <c r="J164" t="s">
        <v>286</v>
      </c>
      <c r="K164" t="s">
        <v>278</v>
      </c>
      <c r="L164" t="s">
        <v>279</v>
      </c>
    </row>
    <row r="165" spans="8:12" x14ac:dyDescent="0.35">
      <c r="H165">
        <f>IF(Table2[[#This Row],[Kelurahan]]="","",ROW(M162))</f>
        <v>162</v>
      </c>
      <c r="I165" t="s">
        <v>371</v>
      </c>
      <c r="J165" t="s">
        <v>372</v>
      </c>
      <c r="K165" t="s">
        <v>278</v>
      </c>
      <c r="L165" t="s">
        <v>279</v>
      </c>
    </row>
    <row r="166" spans="8:12" x14ac:dyDescent="0.35">
      <c r="H166">
        <f>IF(Table2[[#This Row],[Kelurahan]]="","",ROW(M163))</f>
        <v>163</v>
      </c>
      <c r="I166" t="s">
        <v>373</v>
      </c>
      <c r="J166" t="s">
        <v>352</v>
      </c>
      <c r="K166" t="s">
        <v>278</v>
      </c>
      <c r="L166" t="s">
        <v>279</v>
      </c>
    </row>
    <row r="167" spans="8:12" x14ac:dyDescent="0.35">
      <c r="H167">
        <f>IF(Table2[[#This Row],[Kelurahan]]="","",ROW(M164))</f>
        <v>164</v>
      </c>
      <c r="I167" t="s">
        <v>375</v>
      </c>
      <c r="J167" t="s">
        <v>348</v>
      </c>
      <c r="K167" t="s">
        <v>278</v>
      </c>
      <c r="L167" t="s">
        <v>279</v>
      </c>
    </row>
    <row r="168" spans="8:12" x14ac:dyDescent="0.35">
      <c r="H168">
        <f>IF(Table2[[#This Row],[Kelurahan]]="","",ROW(M165))</f>
        <v>165</v>
      </c>
      <c r="I168" t="s">
        <v>376</v>
      </c>
      <c r="J168" t="s">
        <v>365</v>
      </c>
      <c r="K168" t="s">
        <v>278</v>
      </c>
      <c r="L168" t="s">
        <v>279</v>
      </c>
    </row>
    <row r="169" spans="8:12" x14ac:dyDescent="0.35">
      <c r="H169">
        <f>IF(Table2[[#This Row],[Kelurahan]]="","",ROW(M166))</f>
        <v>166</v>
      </c>
      <c r="I169" t="s">
        <v>378</v>
      </c>
      <c r="J169" t="s">
        <v>379</v>
      </c>
      <c r="K169" t="s">
        <v>283</v>
      </c>
      <c r="L169" t="s">
        <v>279</v>
      </c>
    </row>
    <row r="170" spans="8:12" x14ac:dyDescent="0.35">
      <c r="H170">
        <f>IF(Table2[[#This Row],[Kelurahan]]="","",ROW(M167))</f>
        <v>167</v>
      </c>
      <c r="I170" t="s">
        <v>386</v>
      </c>
      <c r="J170" t="s">
        <v>242</v>
      </c>
      <c r="K170" t="s">
        <v>157</v>
      </c>
      <c r="L170" t="s">
        <v>150</v>
      </c>
    </row>
    <row r="171" spans="8:12" x14ac:dyDescent="0.35">
      <c r="H171">
        <f>IF(Table2[[#This Row],[Kelurahan]]="","",ROW(M168))</f>
        <v>168</v>
      </c>
      <c r="I171" t="s">
        <v>391</v>
      </c>
      <c r="J171" t="s">
        <v>242</v>
      </c>
      <c r="K171" t="s">
        <v>157</v>
      </c>
      <c r="L171" t="s">
        <v>150</v>
      </c>
    </row>
    <row r="172" spans="8:12" x14ac:dyDescent="0.35">
      <c r="H172">
        <f>IF(Table2[[#This Row],[Kelurahan]]="","",ROW(M169))</f>
        <v>169</v>
      </c>
      <c r="I172" t="s">
        <v>392</v>
      </c>
      <c r="J172" t="s">
        <v>242</v>
      </c>
      <c r="K172" t="s">
        <v>157</v>
      </c>
      <c r="L172" t="s">
        <v>150</v>
      </c>
    </row>
    <row r="173" spans="8:12" x14ac:dyDescent="0.35">
      <c r="H173">
        <f>IF(Table2[[#This Row],[Kelurahan]]="","",ROW(M170))</f>
        <v>170</v>
      </c>
      <c r="I173" t="s">
        <v>394</v>
      </c>
      <c r="J173" t="s">
        <v>395</v>
      </c>
      <c r="K173" t="s">
        <v>155</v>
      </c>
      <c r="L173" t="s">
        <v>150</v>
      </c>
    </row>
    <row r="174" spans="8:12" x14ac:dyDescent="0.35">
      <c r="H174">
        <f>IF(Table2[[#This Row],[Kelurahan]]="","",ROW(M171))</f>
        <v>171</v>
      </c>
      <c r="I174" t="s">
        <v>397</v>
      </c>
      <c r="J174" t="s">
        <v>242</v>
      </c>
      <c r="K174" t="s">
        <v>157</v>
      </c>
      <c r="L174" t="s">
        <v>150</v>
      </c>
    </row>
    <row r="175" spans="8:12" x14ac:dyDescent="0.35">
      <c r="H175">
        <f>IF(Table2[[#This Row],[Kelurahan]]="","",ROW(M172))</f>
        <v>172</v>
      </c>
      <c r="I175" t="s">
        <v>429</v>
      </c>
      <c r="J175" t="s">
        <v>242</v>
      </c>
      <c r="K175" t="s">
        <v>157</v>
      </c>
      <c r="L175" t="s">
        <v>150</v>
      </c>
    </row>
  </sheetData>
  <phoneticPr fontId="6" type="noConversion"/>
  <dataValidations count="1">
    <dataValidation type="list" allowBlank="1" showInputMessage="1" showErrorMessage="1" sqref="D4:D84" xr:uid="{1984A5CA-F43B-4298-9AFA-C61006EBE159}">
      <formula1>t_kategori</formula1>
    </dataValidation>
  </dataValidation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29E606-9A84-4979-9542-C8820446B1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10</vt:i4>
      </vt:variant>
    </vt:vector>
  </HeadingPairs>
  <TitlesOfParts>
    <vt:vector size="16" baseType="lpstr">
      <vt:lpstr>Quick Recap</vt:lpstr>
      <vt:lpstr>Main Recap</vt:lpstr>
      <vt:lpstr>Rekap Bencana</vt:lpstr>
      <vt:lpstr>Sebaran Dampak</vt:lpstr>
      <vt:lpstr>Sebaran Dampak Ramadhan</vt:lpstr>
      <vt:lpstr>Kategori Program</vt:lpstr>
      <vt:lpstr>t_kab</vt:lpstr>
      <vt:lpstr>t_kategori</vt:lpstr>
      <vt:lpstr>t_kategoriP</vt:lpstr>
      <vt:lpstr>t_kec</vt:lpstr>
      <vt:lpstr>t_kel</vt:lpstr>
      <vt:lpstr>T_KetProgram</vt:lpstr>
      <vt:lpstr>t_nm</vt:lpstr>
      <vt:lpstr>t_prov</vt:lpstr>
      <vt:lpstr>T_SPM</vt:lpstr>
      <vt:lpstr>T_SPMFIX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Shinichi Lawliet</dc:creator>
  <cp:lastModifiedBy>Shinichi Lawliet</cp:lastModifiedBy>
  <dcterms:created xsi:type="dcterms:W3CDTF">2025-08-02T08:29:45Z</dcterms:created>
  <dcterms:modified xsi:type="dcterms:W3CDTF">2026-04-11T17:01:00Z</dcterms:modified>
</cp:coreProperties>
</file>