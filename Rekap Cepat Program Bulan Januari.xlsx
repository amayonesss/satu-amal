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ju Iranda Putra\Documents\Satu Amal Indonesia\SAI 2026\01 Januari\"/>
    </mc:Choice>
  </mc:AlternateContent>
  <xr:revisionPtr revIDLastSave="0" documentId="13_ncr:1_{E8E4119E-F356-4359-A7E7-9803BBC1BE04}" xr6:coauthVersionLast="47" xr6:coauthVersionMax="47" xr10:uidLastSave="{00000000-0000-0000-0000-000000000000}"/>
  <bookViews>
    <workbookView xWindow="-110" yWindow="-110" windowWidth="19420" windowHeight="10300" firstSheet="1" activeTab="3" xr2:uid="{15A8FF7F-A1B7-40DF-B6C7-A9BBB5DCDE1B}"/>
  </bookViews>
  <sheets>
    <sheet name="Quick Recap" sheetId="1" r:id="rId1"/>
    <sheet name="Main Recap" sheetId="2" r:id="rId2"/>
    <sheet name="Rekap Bencana" sheetId="5" r:id="rId3"/>
    <sheet name="Sebaran Dampak" sheetId="4" r:id="rId4"/>
    <sheet name="Kategori Program" sheetId="3" r:id="rId5"/>
  </sheets>
  <definedNames>
    <definedName name="t_kab">Table2[Kabupaten/Kota]</definedName>
    <definedName name="t_kategori">Table6[KATEGORI PROGRAM]</definedName>
    <definedName name="t_kategoriP">Table5[KATEGORI PROGRAM]</definedName>
    <definedName name="t_kec">Table2[Kecamatan]</definedName>
    <definedName name="t_kel">Table2[Kelurahan]</definedName>
    <definedName name="T_KetProgram">Table5[]</definedName>
    <definedName name="t_nm">Table5[NAMA PROGRAM]</definedName>
    <definedName name="t_prov">Table2[Provinsi]</definedName>
    <definedName name="T_SPM">Table13[]</definedName>
    <definedName name="T_SPMFIX">Table13[Sasaran PM]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1" i="1" l="1"/>
  <c r="D6" i="4" l="1"/>
  <c r="E6" i="4" s="1"/>
  <c r="F6" i="4" s="1"/>
  <c r="D7" i="4"/>
  <c r="E7" i="4" s="1"/>
  <c r="F7" i="4" s="1"/>
  <c r="D8" i="4"/>
  <c r="E8" i="4" s="1"/>
  <c r="F8" i="4" s="1"/>
  <c r="D9" i="4"/>
  <c r="E9" i="4" s="1"/>
  <c r="F9" i="4" s="1"/>
  <c r="D10" i="4"/>
  <c r="E10" i="4" s="1"/>
  <c r="F10" i="4" s="1"/>
  <c r="D11" i="4"/>
  <c r="E11" i="4" s="1"/>
  <c r="F11" i="4" s="1"/>
  <c r="D12" i="4"/>
  <c r="E12" i="4" s="1"/>
  <c r="F12" i="4" s="1"/>
  <c r="D13" i="4"/>
  <c r="E13" i="4" s="1"/>
  <c r="F13" i="4" s="1"/>
  <c r="D15" i="4"/>
  <c r="E15" i="4" s="1"/>
  <c r="F15" i="4" s="1"/>
  <c r="D14" i="4"/>
  <c r="E14" i="4" s="1"/>
  <c r="F14" i="4" s="1"/>
  <c r="D17" i="4"/>
  <c r="E17" i="4" s="1"/>
  <c r="F17" i="4" s="1"/>
  <c r="D16" i="4"/>
  <c r="E16" i="4" s="1"/>
  <c r="F16" i="4" s="1"/>
  <c r="D22" i="4"/>
  <c r="E22" i="4" s="1"/>
  <c r="F22" i="4" s="1"/>
  <c r="D23" i="4"/>
  <c r="E23" i="4" s="1"/>
  <c r="F23" i="4" s="1"/>
  <c r="D18" i="4"/>
  <c r="E18" i="4" s="1"/>
  <c r="F18" i="4" s="1"/>
  <c r="D19" i="4"/>
  <c r="E19" i="4" s="1"/>
  <c r="F19" i="4" s="1"/>
  <c r="D20" i="4"/>
  <c r="E20" i="4" s="1"/>
  <c r="F20" i="4" s="1"/>
  <c r="D21" i="4"/>
  <c r="E21" i="4" s="1"/>
  <c r="F21" i="4" s="1"/>
  <c r="D24" i="4"/>
  <c r="E24" i="4" s="1"/>
  <c r="F24" i="4" s="1"/>
  <c r="D29" i="4"/>
  <c r="E29" i="4" s="1"/>
  <c r="F29" i="4" s="1"/>
  <c r="D25" i="4"/>
  <c r="E25" i="4" s="1"/>
  <c r="F25" i="4" s="1"/>
  <c r="D26" i="4"/>
  <c r="E26" i="4" s="1"/>
  <c r="F26" i="4" s="1"/>
  <c r="D30" i="4"/>
  <c r="E30" i="4" s="1"/>
  <c r="F30" i="4" s="1"/>
  <c r="D27" i="4"/>
  <c r="E27" i="4" s="1"/>
  <c r="F27" i="4" s="1"/>
  <c r="D31" i="4"/>
  <c r="E31" i="4" s="1"/>
  <c r="F31" i="4" s="1"/>
  <c r="D28" i="4"/>
  <c r="E28" i="4" s="1"/>
  <c r="F28" i="4" s="1"/>
  <c r="D44" i="4"/>
  <c r="E44" i="4" s="1"/>
  <c r="F44" i="4" s="1"/>
  <c r="D32" i="4"/>
  <c r="E32" i="4" s="1"/>
  <c r="F32" i="4" s="1"/>
  <c r="D33" i="4"/>
  <c r="E33" i="4" s="1"/>
  <c r="F33" i="4" s="1"/>
  <c r="D40" i="4"/>
  <c r="E40" i="4" s="1"/>
  <c r="F40" i="4" s="1"/>
  <c r="D45" i="4"/>
  <c r="E45" i="4" s="1"/>
  <c r="F45" i="4" s="1"/>
  <c r="D46" i="4"/>
  <c r="E46" i="4" s="1"/>
  <c r="F46" i="4" s="1"/>
  <c r="D47" i="4"/>
  <c r="E47" i="4" s="1"/>
  <c r="F47" i="4" s="1"/>
  <c r="D48" i="4"/>
  <c r="E48" i="4" s="1"/>
  <c r="F48" i="4" s="1"/>
  <c r="D49" i="4"/>
  <c r="E49" i="4" s="1"/>
  <c r="F49" i="4" s="1"/>
  <c r="D34" i="4"/>
  <c r="E34" i="4" s="1"/>
  <c r="F34" i="4" s="1"/>
  <c r="D50" i="4"/>
  <c r="E50" i="4" s="1"/>
  <c r="F50" i="4" s="1"/>
  <c r="D35" i="4"/>
  <c r="E35" i="4" s="1"/>
  <c r="F35" i="4" s="1"/>
  <c r="D43" i="4"/>
  <c r="E43" i="4" s="1"/>
  <c r="F43" i="4" s="1"/>
  <c r="D36" i="4"/>
  <c r="E36" i="4" s="1"/>
  <c r="F36" i="4" s="1"/>
  <c r="D37" i="4"/>
  <c r="E37" i="4" s="1"/>
  <c r="F37" i="4" s="1"/>
  <c r="D38" i="4"/>
  <c r="E38" i="4" s="1"/>
  <c r="F38" i="4" s="1"/>
  <c r="D51" i="4"/>
  <c r="E51" i="4" s="1"/>
  <c r="F51" i="4" s="1"/>
  <c r="D52" i="4"/>
  <c r="E52" i="4" s="1"/>
  <c r="F52" i="4" s="1"/>
  <c r="D53" i="4"/>
  <c r="E53" i="4" s="1"/>
  <c r="F53" i="4" s="1"/>
  <c r="D41" i="4"/>
  <c r="E41" i="4" s="1"/>
  <c r="F41" i="4" s="1"/>
  <c r="D42" i="4"/>
  <c r="E42" i="4" s="1"/>
  <c r="F42" i="4" s="1"/>
  <c r="D39" i="4"/>
  <c r="E39" i="4" s="1"/>
  <c r="F39" i="4" s="1"/>
  <c r="D5" i="4"/>
  <c r="N5" i="4"/>
  <c r="B12" i="4"/>
  <c r="B33" i="4"/>
  <c r="B7" i="4"/>
  <c r="B19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E76" i="5"/>
  <c r="D76" i="5"/>
  <c r="E59" i="5"/>
  <c r="D59" i="5"/>
  <c r="E51" i="5"/>
  <c r="D51" i="5"/>
  <c r="E46" i="5"/>
  <c r="D46" i="5"/>
  <c r="E41" i="5"/>
  <c r="D41" i="5"/>
  <c r="O39" i="5"/>
  <c r="N39" i="5"/>
  <c r="O35" i="5"/>
  <c r="N35" i="5"/>
  <c r="T32" i="5"/>
  <c r="S32" i="5"/>
  <c r="E32" i="5"/>
  <c r="D32" i="5"/>
  <c r="O31" i="5"/>
  <c r="N31" i="5"/>
  <c r="N42" i="5" s="1"/>
  <c r="J30" i="5"/>
  <c r="I30" i="5"/>
  <c r="B29" i="5"/>
  <c r="B28" i="5"/>
  <c r="T27" i="5"/>
  <c r="S27" i="5"/>
  <c r="B27" i="5"/>
  <c r="O26" i="5"/>
  <c r="N26" i="5"/>
  <c r="J26" i="5"/>
  <c r="I26" i="5"/>
  <c r="B26" i="5"/>
  <c r="B25" i="5"/>
  <c r="B24" i="5"/>
  <c r="T23" i="5"/>
  <c r="S23" i="5"/>
  <c r="B23" i="5"/>
  <c r="J22" i="5"/>
  <c r="I22" i="5"/>
  <c r="B22" i="5"/>
  <c r="O21" i="5"/>
  <c r="N21" i="5"/>
  <c r="B21" i="5"/>
  <c r="B20" i="5"/>
  <c r="T19" i="5"/>
  <c r="S19" i="5"/>
  <c r="B19" i="5"/>
  <c r="J18" i="5"/>
  <c r="J33" i="5" s="1"/>
  <c r="I18" i="5"/>
  <c r="I33" i="5" s="1"/>
  <c r="B18" i="5"/>
  <c r="B17" i="5"/>
  <c r="B16" i="5"/>
  <c r="B15" i="5"/>
  <c r="B14" i="5"/>
  <c r="O13" i="5"/>
  <c r="N13" i="5"/>
  <c r="B13" i="5"/>
  <c r="B12" i="5"/>
  <c r="S11" i="5"/>
  <c r="L11" i="5"/>
  <c r="B11" i="5"/>
  <c r="L10" i="5"/>
  <c r="J10" i="5"/>
  <c r="I10" i="5"/>
  <c r="B10" i="5"/>
  <c r="Q9" i="5"/>
  <c r="L9" i="5"/>
  <c r="B9" i="5"/>
  <c r="Q8" i="5"/>
  <c r="L8" i="5"/>
  <c r="G8" i="5"/>
  <c r="B8" i="5"/>
  <c r="Q7" i="5"/>
  <c r="L7" i="5"/>
  <c r="G7" i="5"/>
  <c r="B7" i="5"/>
  <c r="Q6" i="5"/>
  <c r="L6" i="5"/>
  <c r="G6" i="5"/>
  <c r="B6" i="5"/>
  <c r="Q5" i="5"/>
  <c r="L5" i="5"/>
  <c r="G5" i="5"/>
  <c r="B5" i="5"/>
  <c r="S35" i="5" l="1"/>
  <c r="T35" i="5"/>
  <c r="O42" i="5"/>
  <c r="D79" i="5"/>
  <c r="E79" i="5"/>
  <c r="D43" i="2"/>
  <c r="E43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J12" i="2"/>
  <c r="H169" i="3" l="1"/>
  <c r="B194" i="1"/>
  <c r="B184" i="1"/>
  <c r="B199" i="1"/>
  <c r="B197" i="1"/>
  <c r="B203" i="1"/>
  <c r="B217" i="1"/>
  <c r="B81" i="1"/>
  <c r="B181" i="1"/>
  <c r="Q4" i="1" l="1"/>
  <c r="B210" i="1"/>
  <c r="B213" i="1"/>
  <c r="B214" i="1"/>
  <c r="B216" i="1"/>
  <c r="B215" i="1"/>
  <c r="E210" i="1"/>
  <c r="E213" i="1"/>
  <c r="E214" i="1"/>
  <c r="E216" i="1"/>
  <c r="E215" i="1"/>
  <c r="E181" i="1"/>
  <c r="E194" i="1"/>
  <c r="E184" i="1"/>
  <c r="E199" i="1"/>
  <c r="E197" i="1"/>
  <c r="E203" i="1"/>
  <c r="E217" i="1"/>
  <c r="E81" i="1"/>
  <c r="I210" i="1"/>
  <c r="J210" i="1" s="1"/>
  <c r="K210" i="1" s="1"/>
  <c r="I213" i="1"/>
  <c r="J213" i="1" s="1"/>
  <c r="K213" i="1" s="1"/>
  <c r="I214" i="1"/>
  <c r="J214" i="1" s="1"/>
  <c r="K214" i="1" s="1"/>
  <c r="I216" i="1"/>
  <c r="J216" i="1" s="1"/>
  <c r="K216" i="1" s="1"/>
  <c r="I215" i="1"/>
  <c r="J215" i="1" s="1"/>
  <c r="K215" i="1" s="1"/>
  <c r="I181" i="1"/>
  <c r="J181" i="1" s="1"/>
  <c r="K181" i="1" s="1"/>
  <c r="I194" i="1"/>
  <c r="J194" i="1" s="1"/>
  <c r="K194" i="1" s="1"/>
  <c r="I184" i="1"/>
  <c r="J184" i="1" s="1"/>
  <c r="K184" i="1" s="1"/>
  <c r="I199" i="1"/>
  <c r="J199" i="1" s="1"/>
  <c r="K199" i="1" s="1"/>
  <c r="I197" i="1"/>
  <c r="J197" i="1" s="1"/>
  <c r="K197" i="1" s="1"/>
  <c r="I203" i="1"/>
  <c r="J203" i="1" s="1"/>
  <c r="K203" i="1" s="1"/>
  <c r="I217" i="1"/>
  <c r="J217" i="1" s="1"/>
  <c r="K217" i="1" s="1"/>
  <c r="I81" i="1"/>
  <c r="J81" i="1" s="1"/>
  <c r="K81" i="1" s="1"/>
  <c r="B208" i="1"/>
  <c r="B206" i="1"/>
  <c r="B209" i="1"/>
  <c r="B202" i="1"/>
  <c r="B207" i="1"/>
  <c r="E208" i="1"/>
  <c r="E206" i="1"/>
  <c r="E209" i="1"/>
  <c r="E202" i="1"/>
  <c r="E207" i="1"/>
  <c r="I208" i="1"/>
  <c r="J208" i="1" s="1"/>
  <c r="K208" i="1" s="1"/>
  <c r="I206" i="1"/>
  <c r="J206" i="1" s="1"/>
  <c r="K206" i="1" s="1"/>
  <c r="I209" i="1"/>
  <c r="J209" i="1" s="1"/>
  <c r="K209" i="1" s="1"/>
  <c r="I202" i="1"/>
  <c r="J202" i="1" s="1"/>
  <c r="K202" i="1" s="1"/>
  <c r="I207" i="1"/>
  <c r="J207" i="1" s="1"/>
  <c r="K207" i="1" s="1"/>
  <c r="B67" i="3" l="1"/>
  <c r="H168" i="3"/>
  <c r="B66" i="3"/>
  <c r="B162" i="1" l="1"/>
  <c r="B155" i="1"/>
  <c r="B163" i="1"/>
  <c r="B174" i="1"/>
  <c r="B180" i="1"/>
  <c r="B195" i="1"/>
  <c r="B198" i="1"/>
  <c r="B200" i="1"/>
  <c r="B196" i="1"/>
  <c r="B201" i="1"/>
  <c r="B204" i="1"/>
  <c r="B212" i="1"/>
  <c r="B211" i="1"/>
  <c r="B205" i="1"/>
  <c r="E162" i="1"/>
  <c r="E155" i="1"/>
  <c r="E163" i="1"/>
  <c r="E174" i="1"/>
  <c r="E180" i="1"/>
  <c r="E195" i="1"/>
  <c r="E198" i="1"/>
  <c r="E200" i="1"/>
  <c r="E196" i="1"/>
  <c r="E201" i="1"/>
  <c r="E204" i="1"/>
  <c r="E212" i="1"/>
  <c r="E211" i="1"/>
  <c r="E205" i="1"/>
  <c r="I162" i="1"/>
  <c r="J162" i="1" s="1"/>
  <c r="K162" i="1" s="1"/>
  <c r="I155" i="1"/>
  <c r="J155" i="1" s="1"/>
  <c r="K155" i="1" s="1"/>
  <c r="I163" i="1"/>
  <c r="J163" i="1" s="1"/>
  <c r="K163" i="1" s="1"/>
  <c r="I174" i="1"/>
  <c r="J174" i="1" s="1"/>
  <c r="K174" i="1" s="1"/>
  <c r="I180" i="1"/>
  <c r="J180" i="1" s="1"/>
  <c r="K180" i="1" s="1"/>
  <c r="I195" i="1"/>
  <c r="J195" i="1" s="1"/>
  <c r="K195" i="1" s="1"/>
  <c r="I198" i="1"/>
  <c r="J198" i="1" s="1"/>
  <c r="K198" i="1" s="1"/>
  <c r="I200" i="1"/>
  <c r="J200" i="1" s="1"/>
  <c r="K200" i="1" s="1"/>
  <c r="I196" i="1"/>
  <c r="J196" i="1" s="1"/>
  <c r="K196" i="1" s="1"/>
  <c r="I201" i="1"/>
  <c r="J201" i="1" s="1"/>
  <c r="K201" i="1" s="1"/>
  <c r="I204" i="1"/>
  <c r="J204" i="1" s="1"/>
  <c r="K204" i="1" s="1"/>
  <c r="I212" i="1"/>
  <c r="J212" i="1" s="1"/>
  <c r="K212" i="1" s="1"/>
  <c r="I211" i="1"/>
  <c r="J211" i="1" s="1"/>
  <c r="K211" i="1" s="1"/>
  <c r="I205" i="1"/>
  <c r="J205" i="1" s="1"/>
  <c r="K205" i="1" s="1"/>
  <c r="E166" i="1"/>
  <c r="E160" i="1"/>
  <c r="I166" i="1"/>
  <c r="H167" i="3"/>
  <c r="H166" i="3" l="1"/>
  <c r="H165" i="3"/>
  <c r="B65" i="3" l="1"/>
  <c r="H164" i="3"/>
  <c r="H163" i="3"/>
  <c r="H162" i="3"/>
  <c r="H161" i="3"/>
  <c r="B52" i="1"/>
  <c r="E107" i="1" l="1"/>
  <c r="E105" i="1"/>
  <c r="B42" i="3" l="1"/>
  <c r="H160" i="3"/>
  <c r="B64" i="3"/>
  <c r="B63" i="3"/>
  <c r="H159" i="3"/>
  <c r="H158" i="3"/>
  <c r="B62" i="3"/>
  <c r="H157" i="3"/>
  <c r="H156" i="3"/>
  <c r="H155" i="3"/>
  <c r="B61" i="3"/>
  <c r="H154" i="3"/>
  <c r="H153" i="3"/>
  <c r="B60" i="3"/>
  <c r="B59" i="3"/>
  <c r="B30" i="1" l="1"/>
  <c r="E30" i="1"/>
  <c r="I30" i="1"/>
  <c r="J30" i="1" s="1"/>
  <c r="K30" i="1" s="1"/>
  <c r="B29" i="1"/>
  <c r="E29" i="1"/>
  <c r="I29" i="1"/>
  <c r="J29" i="1" s="1"/>
  <c r="K29" i="1" s="1"/>
  <c r="B10" i="1"/>
  <c r="E10" i="1"/>
  <c r="I10" i="1"/>
  <c r="J10" i="1" s="1"/>
  <c r="K10" i="1" s="1"/>
  <c r="B36" i="1"/>
  <c r="E36" i="1"/>
  <c r="I36" i="1"/>
  <c r="J36" i="1" s="1"/>
  <c r="K36" i="1" s="1"/>
  <c r="B46" i="1"/>
  <c r="E46" i="1"/>
  <c r="I46" i="1"/>
  <c r="J46" i="1" s="1"/>
  <c r="K46" i="1" s="1"/>
  <c r="B48" i="1"/>
  <c r="E48" i="1"/>
  <c r="I48" i="1"/>
  <c r="J48" i="1" s="1"/>
  <c r="K48" i="1" s="1"/>
  <c r="B47" i="1"/>
  <c r="E47" i="1"/>
  <c r="I47" i="1"/>
  <c r="J47" i="1" s="1"/>
  <c r="K47" i="1" s="1"/>
  <c r="B49" i="1"/>
  <c r="E49" i="1"/>
  <c r="I49" i="1"/>
  <c r="J49" i="1" s="1"/>
  <c r="K49" i="1" s="1"/>
  <c r="B59" i="1"/>
  <c r="E59" i="1"/>
  <c r="I59" i="1"/>
  <c r="J59" i="1" s="1"/>
  <c r="K59" i="1" s="1"/>
  <c r="B60" i="1"/>
  <c r="E60" i="1"/>
  <c r="I60" i="1"/>
  <c r="J60" i="1" s="1"/>
  <c r="K60" i="1" s="1"/>
  <c r="B56" i="1"/>
  <c r="E56" i="1"/>
  <c r="I56" i="1"/>
  <c r="J56" i="1" s="1"/>
  <c r="K56" i="1" s="1"/>
  <c r="B61" i="1"/>
  <c r="E61" i="1"/>
  <c r="I61" i="1"/>
  <c r="J61" i="1" s="1"/>
  <c r="K61" i="1" s="1"/>
  <c r="B58" i="1"/>
  <c r="E58" i="1"/>
  <c r="I58" i="1"/>
  <c r="J58" i="1" s="1"/>
  <c r="K58" i="1" s="1"/>
  <c r="B65" i="1"/>
  <c r="E65" i="1"/>
  <c r="I65" i="1"/>
  <c r="J65" i="1" s="1"/>
  <c r="K65" i="1" s="1"/>
  <c r="B66" i="1"/>
  <c r="E66" i="1"/>
  <c r="I66" i="1"/>
  <c r="J66" i="1" s="1"/>
  <c r="K66" i="1" s="1"/>
  <c r="B74" i="1"/>
  <c r="E74" i="1"/>
  <c r="I74" i="1"/>
  <c r="J74" i="1" s="1"/>
  <c r="K74" i="1" s="1"/>
  <c r="B69" i="1"/>
  <c r="E69" i="1"/>
  <c r="I69" i="1"/>
  <c r="J69" i="1" s="1"/>
  <c r="K69" i="1" s="1"/>
  <c r="B75" i="1"/>
  <c r="E75" i="1"/>
  <c r="I75" i="1"/>
  <c r="J75" i="1" s="1"/>
  <c r="K75" i="1" s="1"/>
  <c r="B67" i="1"/>
  <c r="E67" i="1"/>
  <c r="I67" i="1"/>
  <c r="J67" i="1" s="1"/>
  <c r="K67" i="1" s="1"/>
  <c r="B72" i="1"/>
  <c r="E72" i="1"/>
  <c r="I72" i="1"/>
  <c r="J72" i="1" s="1"/>
  <c r="K72" i="1" s="1"/>
  <c r="B70" i="1"/>
  <c r="E70" i="1"/>
  <c r="I70" i="1"/>
  <c r="J70" i="1" s="1"/>
  <c r="K70" i="1" s="1"/>
  <c r="B73" i="1"/>
  <c r="E73" i="1"/>
  <c r="I73" i="1"/>
  <c r="J73" i="1" s="1"/>
  <c r="K73" i="1" s="1"/>
  <c r="B68" i="1"/>
  <c r="E68" i="1"/>
  <c r="I68" i="1"/>
  <c r="J68" i="1" s="1"/>
  <c r="K68" i="1" s="1"/>
  <c r="B71" i="1"/>
  <c r="E71" i="1"/>
  <c r="J71" i="1"/>
  <c r="K71" i="1" s="1"/>
  <c r="B8" i="1"/>
  <c r="E8" i="1"/>
  <c r="I8" i="1"/>
  <c r="J8" i="1" s="1"/>
  <c r="K8" i="1" s="1"/>
  <c r="B6" i="1"/>
  <c r="E6" i="1"/>
  <c r="I6" i="1"/>
  <c r="J6" i="1" s="1"/>
  <c r="K6" i="1" s="1"/>
  <c r="B5" i="1"/>
  <c r="E5" i="1"/>
  <c r="I5" i="1"/>
  <c r="J5" i="1" s="1"/>
  <c r="K5" i="1" s="1"/>
  <c r="B7" i="1"/>
  <c r="E7" i="1"/>
  <c r="I7" i="1"/>
  <c r="J7" i="1" s="1"/>
  <c r="K7" i="1" s="1"/>
  <c r="B9" i="1"/>
  <c r="E9" i="1"/>
  <c r="I9" i="1"/>
  <c r="J9" i="1" s="1"/>
  <c r="K9" i="1" s="1"/>
  <c r="B12" i="1"/>
  <c r="E12" i="1"/>
  <c r="I12" i="1"/>
  <c r="J12" i="1" s="1"/>
  <c r="K12" i="1" s="1"/>
  <c r="B14" i="1"/>
  <c r="E14" i="1"/>
  <c r="I14" i="1"/>
  <c r="J14" i="1" s="1"/>
  <c r="K14" i="1" s="1"/>
  <c r="B17" i="1"/>
  <c r="E17" i="1"/>
  <c r="I17" i="1"/>
  <c r="J17" i="1" s="1"/>
  <c r="K17" i="1" s="1"/>
  <c r="B19" i="1"/>
  <c r="E19" i="1"/>
  <c r="I19" i="1"/>
  <c r="J19" i="1" s="1"/>
  <c r="K19" i="1" s="1"/>
  <c r="B16" i="1"/>
  <c r="E16" i="1"/>
  <c r="I16" i="1"/>
  <c r="J16" i="1" s="1"/>
  <c r="K16" i="1" s="1"/>
  <c r="B13" i="1"/>
  <c r="E13" i="1"/>
  <c r="I13" i="1"/>
  <c r="J13" i="1" s="1"/>
  <c r="K13" i="1" s="1"/>
  <c r="B15" i="1"/>
  <c r="E15" i="1"/>
  <c r="I15" i="1"/>
  <c r="J15" i="1" s="1"/>
  <c r="K15" i="1" s="1"/>
  <c r="B18" i="1"/>
  <c r="E18" i="1"/>
  <c r="I18" i="1"/>
  <c r="J18" i="1" s="1"/>
  <c r="K18" i="1" s="1"/>
  <c r="B28" i="1"/>
  <c r="E28" i="1"/>
  <c r="I28" i="1"/>
  <c r="J28" i="1" s="1"/>
  <c r="K28" i="1" s="1"/>
  <c r="B21" i="1"/>
  <c r="E21" i="1"/>
  <c r="I21" i="1"/>
  <c r="J21" i="1" s="1"/>
  <c r="K21" i="1" s="1"/>
  <c r="B24" i="1"/>
  <c r="E24" i="1"/>
  <c r="I24" i="1"/>
  <c r="J24" i="1" s="1"/>
  <c r="K24" i="1" s="1"/>
  <c r="B26" i="1"/>
  <c r="E26" i="1"/>
  <c r="I26" i="1"/>
  <c r="J26" i="1" s="1"/>
  <c r="K26" i="1" s="1"/>
  <c r="B23" i="1"/>
  <c r="E23" i="1"/>
  <c r="I23" i="1"/>
  <c r="J23" i="1" s="1"/>
  <c r="K23" i="1" s="1"/>
  <c r="B27" i="1"/>
  <c r="E27" i="1"/>
  <c r="I27" i="1"/>
  <c r="J27" i="1" s="1"/>
  <c r="K27" i="1" s="1"/>
  <c r="B22" i="1"/>
  <c r="E22" i="1"/>
  <c r="I22" i="1"/>
  <c r="J22" i="1" s="1"/>
  <c r="K22" i="1" s="1"/>
  <c r="B25" i="1"/>
  <c r="E25" i="1"/>
  <c r="I25" i="1"/>
  <c r="J25" i="1" s="1"/>
  <c r="K25" i="1" s="1"/>
  <c r="B20" i="1"/>
  <c r="E20" i="1"/>
  <c r="I20" i="1"/>
  <c r="J20" i="1" s="1"/>
  <c r="K20" i="1" s="1"/>
  <c r="B38" i="1"/>
  <c r="E38" i="1"/>
  <c r="I38" i="1"/>
  <c r="J38" i="1" s="1"/>
  <c r="K38" i="1" s="1"/>
  <c r="B39" i="1"/>
  <c r="E39" i="1"/>
  <c r="I39" i="1"/>
  <c r="J39" i="1" s="1"/>
  <c r="K39" i="1" s="1"/>
  <c r="B40" i="1"/>
  <c r="E40" i="1"/>
  <c r="I40" i="1"/>
  <c r="J40" i="1" s="1"/>
  <c r="K40" i="1" s="1"/>
  <c r="B31" i="1"/>
  <c r="E31" i="1"/>
  <c r="I31" i="1"/>
  <c r="J31" i="1" s="1"/>
  <c r="K31" i="1" s="1"/>
  <c r="B37" i="1"/>
  <c r="E37" i="1"/>
  <c r="I37" i="1"/>
  <c r="J37" i="1" s="1"/>
  <c r="K37" i="1" s="1"/>
  <c r="B32" i="1"/>
  <c r="E32" i="1"/>
  <c r="I32" i="1"/>
  <c r="J32" i="1" s="1"/>
  <c r="K32" i="1" s="1"/>
  <c r="B41" i="1"/>
  <c r="E41" i="1"/>
  <c r="I41" i="1"/>
  <c r="J41" i="1" s="1"/>
  <c r="K41" i="1" s="1"/>
  <c r="B42" i="1"/>
  <c r="E42" i="1"/>
  <c r="I42" i="1"/>
  <c r="J42" i="1" s="1"/>
  <c r="K42" i="1" s="1"/>
  <c r="B43" i="1"/>
  <c r="E43" i="1"/>
  <c r="I43" i="1"/>
  <c r="J43" i="1" s="1"/>
  <c r="K43" i="1" s="1"/>
  <c r="B34" i="1"/>
  <c r="E34" i="1"/>
  <c r="I34" i="1"/>
  <c r="J34" i="1" s="1"/>
  <c r="K34" i="1" s="1"/>
  <c r="B35" i="1"/>
  <c r="E35" i="1"/>
  <c r="I35" i="1"/>
  <c r="J35" i="1" s="1"/>
  <c r="K35" i="1" s="1"/>
  <c r="B33" i="1"/>
  <c r="E33" i="1"/>
  <c r="I33" i="1"/>
  <c r="J33" i="1" s="1"/>
  <c r="K33" i="1" s="1"/>
  <c r="B44" i="1"/>
  <c r="E44" i="1"/>
  <c r="I44" i="1"/>
  <c r="J44" i="1" s="1"/>
  <c r="K44" i="1" s="1"/>
  <c r="B45" i="1"/>
  <c r="E45" i="1"/>
  <c r="I45" i="1"/>
  <c r="J45" i="1" s="1"/>
  <c r="K45" i="1" s="1"/>
  <c r="B50" i="1"/>
  <c r="E50" i="1"/>
  <c r="I50" i="1"/>
  <c r="J50" i="1" s="1"/>
  <c r="K50" i="1" s="1"/>
  <c r="B51" i="1"/>
  <c r="E51" i="1"/>
  <c r="I51" i="1"/>
  <c r="J51" i="1" s="1"/>
  <c r="K51" i="1" s="1"/>
  <c r="B57" i="1"/>
  <c r="E57" i="1"/>
  <c r="I57" i="1"/>
  <c r="J57" i="1" s="1"/>
  <c r="K57" i="1" s="1"/>
  <c r="B78" i="1"/>
  <c r="E78" i="1"/>
  <c r="I78" i="1"/>
  <c r="J78" i="1" s="1"/>
  <c r="K78" i="1" s="1"/>
  <c r="B76" i="1"/>
  <c r="E76" i="1"/>
  <c r="I76" i="1"/>
  <c r="J76" i="1" s="1"/>
  <c r="K76" i="1" s="1"/>
  <c r="B79" i="1"/>
  <c r="E79" i="1"/>
  <c r="I79" i="1"/>
  <c r="J79" i="1" s="1"/>
  <c r="K79" i="1" s="1"/>
  <c r="B86" i="1"/>
  <c r="E86" i="1"/>
  <c r="I86" i="1"/>
  <c r="J86" i="1" s="1"/>
  <c r="K86" i="1" s="1"/>
  <c r="B91" i="1"/>
  <c r="E91" i="1"/>
  <c r="I91" i="1"/>
  <c r="J91" i="1" s="1"/>
  <c r="K91" i="1" s="1"/>
  <c r="B98" i="1"/>
  <c r="E98" i="1"/>
  <c r="I98" i="1"/>
  <c r="J98" i="1" s="1"/>
  <c r="K98" i="1" s="1"/>
  <c r="B100" i="1"/>
  <c r="E100" i="1"/>
  <c r="I100" i="1"/>
  <c r="J100" i="1" s="1"/>
  <c r="K100" i="1" s="1"/>
  <c r="B101" i="1"/>
  <c r="E101" i="1"/>
  <c r="I101" i="1"/>
  <c r="J101" i="1" s="1"/>
  <c r="K101" i="1" s="1"/>
  <c r="B93" i="1"/>
  <c r="E93" i="1"/>
  <c r="I93" i="1"/>
  <c r="J93" i="1" s="1"/>
  <c r="K93" i="1" s="1"/>
  <c r="B92" i="1"/>
  <c r="E92" i="1"/>
  <c r="I92" i="1"/>
  <c r="J92" i="1" s="1"/>
  <c r="K92" i="1" s="1"/>
  <c r="B105" i="1"/>
  <c r="I105" i="1"/>
  <c r="J105" i="1" s="1"/>
  <c r="K105" i="1" s="1"/>
  <c r="B107" i="1"/>
  <c r="I107" i="1"/>
  <c r="J107" i="1" s="1"/>
  <c r="K107" i="1" s="1"/>
  <c r="B109" i="1"/>
  <c r="E109" i="1"/>
  <c r="I109" i="1"/>
  <c r="J109" i="1" s="1"/>
  <c r="K109" i="1" s="1"/>
  <c r="B102" i="1"/>
  <c r="E102" i="1"/>
  <c r="I102" i="1"/>
  <c r="J102" i="1" s="1"/>
  <c r="K102" i="1" s="1"/>
  <c r="B108" i="1"/>
  <c r="E108" i="1"/>
  <c r="I108" i="1"/>
  <c r="J108" i="1" s="1"/>
  <c r="K108" i="1" s="1"/>
  <c r="B119" i="1"/>
  <c r="E119" i="1"/>
  <c r="I119" i="1"/>
  <c r="J119" i="1" s="1"/>
  <c r="K119" i="1" s="1"/>
  <c r="B116" i="1"/>
  <c r="E116" i="1"/>
  <c r="I116" i="1"/>
  <c r="J116" i="1" s="1"/>
  <c r="K116" i="1" s="1"/>
  <c r="B118" i="1"/>
  <c r="E118" i="1"/>
  <c r="I118" i="1"/>
  <c r="J118" i="1" s="1"/>
  <c r="K118" i="1" s="1"/>
  <c r="B117" i="1"/>
  <c r="E117" i="1"/>
  <c r="I117" i="1"/>
  <c r="J117" i="1" s="1"/>
  <c r="K117" i="1" s="1"/>
  <c r="E52" i="1"/>
  <c r="I52" i="1"/>
  <c r="J52" i="1" s="1"/>
  <c r="K52" i="1" s="1"/>
  <c r="B53" i="1"/>
  <c r="E53" i="1"/>
  <c r="I53" i="1"/>
  <c r="J53" i="1" s="1"/>
  <c r="K53" i="1" s="1"/>
  <c r="B54" i="1"/>
  <c r="E54" i="1"/>
  <c r="I54" i="1"/>
  <c r="J54" i="1" s="1"/>
  <c r="K54" i="1" s="1"/>
  <c r="B55" i="1"/>
  <c r="E55" i="1"/>
  <c r="I55" i="1"/>
  <c r="J55" i="1" s="1"/>
  <c r="K55" i="1" s="1"/>
  <c r="B62" i="1"/>
  <c r="E62" i="1"/>
  <c r="I62" i="1"/>
  <c r="J62" i="1" s="1"/>
  <c r="K62" i="1" s="1"/>
  <c r="B63" i="1"/>
  <c r="E63" i="1"/>
  <c r="I63" i="1"/>
  <c r="J63" i="1" s="1"/>
  <c r="K63" i="1" s="1"/>
  <c r="B64" i="1"/>
  <c r="E64" i="1"/>
  <c r="I64" i="1"/>
  <c r="J64" i="1" s="1"/>
  <c r="K64" i="1" s="1"/>
  <c r="B80" i="1"/>
  <c r="E80" i="1"/>
  <c r="I80" i="1"/>
  <c r="J80" i="1" s="1"/>
  <c r="K80" i="1" s="1"/>
  <c r="B77" i="1"/>
  <c r="E77" i="1"/>
  <c r="I77" i="1"/>
  <c r="J77" i="1" s="1"/>
  <c r="K77" i="1" s="1"/>
  <c r="B85" i="1"/>
  <c r="E85" i="1"/>
  <c r="I85" i="1"/>
  <c r="J85" i="1" s="1"/>
  <c r="K85" i="1" s="1"/>
  <c r="B82" i="1"/>
  <c r="E82" i="1"/>
  <c r="I82" i="1"/>
  <c r="J82" i="1" s="1"/>
  <c r="K82" i="1" s="1"/>
  <c r="B83" i="1"/>
  <c r="E83" i="1"/>
  <c r="I83" i="1"/>
  <c r="J83" i="1" s="1"/>
  <c r="K83" i="1" s="1"/>
  <c r="B87" i="1"/>
  <c r="E87" i="1"/>
  <c r="I87" i="1"/>
  <c r="J87" i="1" s="1"/>
  <c r="K87" i="1" s="1"/>
  <c r="B84" i="1"/>
  <c r="E84" i="1"/>
  <c r="I84" i="1"/>
  <c r="J84" i="1" s="1"/>
  <c r="K84" i="1" s="1"/>
  <c r="B95" i="1"/>
  <c r="E95" i="1"/>
  <c r="I95" i="1"/>
  <c r="J95" i="1" s="1"/>
  <c r="K95" i="1" s="1"/>
  <c r="B96" i="1"/>
  <c r="E96" i="1"/>
  <c r="I96" i="1"/>
  <c r="J96" i="1" s="1"/>
  <c r="K96" i="1" s="1"/>
  <c r="B97" i="1"/>
  <c r="E97" i="1"/>
  <c r="I97" i="1"/>
  <c r="J97" i="1" s="1"/>
  <c r="K97" i="1" s="1"/>
  <c r="B94" i="1"/>
  <c r="E94" i="1"/>
  <c r="I94" i="1"/>
  <c r="J94" i="1" s="1"/>
  <c r="K94" i="1" s="1"/>
  <c r="B88" i="1"/>
  <c r="E88" i="1"/>
  <c r="I88" i="1"/>
  <c r="J88" i="1" s="1"/>
  <c r="K88" i="1" s="1"/>
  <c r="B89" i="1"/>
  <c r="E89" i="1"/>
  <c r="I89" i="1"/>
  <c r="J89" i="1" s="1"/>
  <c r="K89" i="1" s="1"/>
  <c r="B90" i="1"/>
  <c r="E90" i="1"/>
  <c r="I90" i="1"/>
  <c r="J90" i="1" s="1"/>
  <c r="K90" i="1" s="1"/>
  <c r="B99" i="1"/>
  <c r="E99" i="1"/>
  <c r="I99" i="1"/>
  <c r="J99" i="1" s="1"/>
  <c r="K99" i="1" s="1"/>
  <c r="B103" i="1"/>
  <c r="E103" i="1"/>
  <c r="I103" i="1"/>
  <c r="J103" i="1" s="1"/>
  <c r="K103" i="1" s="1"/>
  <c r="B104" i="1"/>
  <c r="E104" i="1"/>
  <c r="I104" i="1"/>
  <c r="J104" i="1" s="1"/>
  <c r="K104" i="1" s="1"/>
  <c r="B106" i="1"/>
  <c r="E106" i="1"/>
  <c r="I106" i="1"/>
  <c r="J106" i="1" s="1"/>
  <c r="K106" i="1" s="1"/>
  <c r="B111" i="1"/>
  <c r="E111" i="1"/>
  <c r="I111" i="1"/>
  <c r="J111" i="1" s="1"/>
  <c r="K111" i="1" s="1"/>
  <c r="B114" i="1"/>
  <c r="E114" i="1"/>
  <c r="I114" i="1"/>
  <c r="J114" i="1" s="1"/>
  <c r="K114" i="1" s="1"/>
  <c r="B120" i="1"/>
  <c r="E120" i="1"/>
  <c r="I120" i="1"/>
  <c r="J120" i="1" s="1"/>
  <c r="K120" i="1" s="1"/>
  <c r="B124" i="1"/>
  <c r="E124" i="1"/>
  <c r="I124" i="1"/>
  <c r="J124" i="1" s="1"/>
  <c r="K124" i="1" s="1"/>
  <c r="B123" i="1"/>
  <c r="E123" i="1"/>
  <c r="I123" i="1"/>
  <c r="J123" i="1" s="1"/>
  <c r="K123" i="1" s="1"/>
  <c r="B126" i="1"/>
  <c r="E126" i="1"/>
  <c r="I126" i="1"/>
  <c r="J126" i="1" s="1"/>
  <c r="K126" i="1" s="1"/>
  <c r="B125" i="1"/>
  <c r="E125" i="1"/>
  <c r="I125" i="1"/>
  <c r="J125" i="1" s="1"/>
  <c r="K125" i="1" s="1"/>
  <c r="B127" i="1"/>
  <c r="E127" i="1"/>
  <c r="I127" i="1"/>
  <c r="J127" i="1" s="1"/>
  <c r="K127" i="1" s="1"/>
  <c r="B131" i="1"/>
  <c r="E131" i="1"/>
  <c r="I131" i="1"/>
  <c r="J131" i="1" s="1"/>
  <c r="K131" i="1" s="1"/>
  <c r="B112" i="1"/>
  <c r="E112" i="1"/>
  <c r="I112" i="1"/>
  <c r="J112" i="1" s="1"/>
  <c r="K112" i="1" s="1"/>
  <c r="B113" i="1"/>
  <c r="E113" i="1"/>
  <c r="I113" i="1"/>
  <c r="J113" i="1" s="1"/>
  <c r="K113" i="1" s="1"/>
  <c r="B110" i="1"/>
  <c r="E110" i="1"/>
  <c r="I110" i="1"/>
  <c r="J110" i="1" s="1"/>
  <c r="K110" i="1" s="1"/>
  <c r="B115" i="1"/>
  <c r="E115" i="1"/>
  <c r="I115" i="1"/>
  <c r="J115" i="1" s="1"/>
  <c r="K115" i="1" s="1"/>
  <c r="B121" i="1"/>
  <c r="E121" i="1"/>
  <c r="I121" i="1"/>
  <c r="J121" i="1" s="1"/>
  <c r="K121" i="1" s="1"/>
  <c r="B122" i="1"/>
  <c r="E122" i="1"/>
  <c r="I122" i="1"/>
  <c r="J122" i="1" s="1"/>
  <c r="K122" i="1" s="1"/>
  <c r="B129" i="1"/>
  <c r="E129" i="1"/>
  <c r="I129" i="1"/>
  <c r="J129" i="1" s="1"/>
  <c r="K129" i="1" s="1"/>
  <c r="B130" i="1"/>
  <c r="E130" i="1"/>
  <c r="I130" i="1"/>
  <c r="J130" i="1" s="1"/>
  <c r="K130" i="1" s="1"/>
  <c r="B134" i="1"/>
  <c r="E134" i="1"/>
  <c r="I134" i="1"/>
  <c r="J134" i="1" s="1"/>
  <c r="K134" i="1" s="1"/>
  <c r="B135" i="1"/>
  <c r="E135" i="1"/>
  <c r="I135" i="1"/>
  <c r="J135" i="1" s="1"/>
  <c r="K135" i="1" s="1"/>
  <c r="B128" i="1"/>
  <c r="E128" i="1"/>
  <c r="I128" i="1"/>
  <c r="J128" i="1" s="1"/>
  <c r="K128" i="1" s="1"/>
  <c r="B137" i="1"/>
  <c r="E137" i="1"/>
  <c r="I137" i="1"/>
  <c r="J137" i="1" s="1"/>
  <c r="K137" i="1" s="1"/>
  <c r="B139" i="1"/>
  <c r="E139" i="1"/>
  <c r="I139" i="1"/>
  <c r="J139" i="1" s="1"/>
  <c r="K139" i="1" s="1"/>
  <c r="B141" i="1"/>
  <c r="E141" i="1"/>
  <c r="I141" i="1"/>
  <c r="J141" i="1" s="1"/>
  <c r="K141" i="1" s="1"/>
  <c r="B143" i="1"/>
  <c r="E143" i="1"/>
  <c r="I143" i="1"/>
  <c r="J143" i="1" s="1"/>
  <c r="K143" i="1" s="1"/>
  <c r="B144" i="1"/>
  <c r="E144" i="1"/>
  <c r="I144" i="1"/>
  <c r="J144" i="1" s="1"/>
  <c r="K144" i="1" s="1"/>
  <c r="B140" i="1"/>
  <c r="E140" i="1"/>
  <c r="I140" i="1"/>
  <c r="J140" i="1" s="1"/>
  <c r="K140" i="1" s="1"/>
  <c r="B142" i="1"/>
  <c r="E142" i="1"/>
  <c r="I142" i="1"/>
  <c r="J142" i="1" s="1"/>
  <c r="K142" i="1" s="1"/>
  <c r="B149" i="1"/>
  <c r="E149" i="1"/>
  <c r="I149" i="1"/>
  <c r="J149" i="1" s="1"/>
  <c r="K149" i="1" s="1"/>
  <c r="B145" i="1"/>
  <c r="E145" i="1"/>
  <c r="I145" i="1"/>
  <c r="J145" i="1" s="1"/>
  <c r="K145" i="1" s="1"/>
  <c r="B146" i="1"/>
  <c r="E146" i="1"/>
  <c r="I146" i="1"/>
  <c r="J146" i="1" s="1"/>
  <c r="K146" i="1" s="1"/>
  <c r="B152" i="1"/>
  <c r="E152" i="1"/>
  <c r="I152" i="1"/>
  <c r="J152" i="1" s="1"/>
  <c r="K152" i="1" s="1"/>
  <c r="B166" i="1"/>
  <c r="J166" i="1"/>
  <c r="K166" i="1" s="1"/>
  <c r="B160" i="1"/>
  <c r="I160" i="1"/>
  <c r="J160" i="1" s="1"/>
  <c r="K160" i="1" s="1"/>
  <c r="B167" i="1"/>
  <c r="E167" i="1"/>
  <c r="I167" i="1"/>
  <c r="J167" i="1" s="1"/>
  <c r="K167" i="1" s="1"/>
  <c r="B158" i="1"/>
  <c r="E158" i="1"/>
  <c r="I158" i="1"/>
  <c r="J158" i="1" s="1"/>
  <c r="K158" i="1" s="1"/>
  <c r="B165" i="1"/>
  <c r="E165" i="1"/>
  <c r="I165" i="1"/>
  <c r="J165" i="1" s="1"/>
  <c r="K165" i="1" s="1"/>
  <c r="B173" i="1"/>
  <c r="E173" i="1"/>
  <c r="I173" i="1"/>
  <c r="J173" i="1" s="1"/>
  <c r="K173" i="1" s="1"/>
  <c r="B170" i="1"/>
  <c r="E170" i="1"/>
  <c r="I170" i="1"/>
  <c r="J170" i="1" s="1"/>
  <c r="K170" i="1" s="1"/>
  <c r="B168" i="1"/>
  <c r="E168" i="1"/>
  <c r="I168" i="1"/>
  <c r="J168" i="1" s="1"/>
  <c r="K168" i="1" s="1"/>
  <c r="B169" i="1"/>
  <c r="E169" i="1"/>
  <c r="I169" i="1"/>
  <c r="J169" i="1" s="1"/>
  <c r="K169" i="1" s="1"/>
  <c r="B151" i="1"/>
  <c r="E151" i="1"/>
  <c r="I151" i="1"/>
  <c r="J151" i="1" s="1"/>
  <c r="K151" i="1" s="1"/>
  <c r="B154" i="1"/>
  <c r="E154" i="1"/>
  <c r="I154" i="1"/>
  <c r="J154" i="1" s="1"/>
  <c r="K154" i="1" s="1"/>
  <c r="B153" i="1"/>
  <c r="E153" i="1"/>
  <c r="I153" i="1"/>
  <c r="J153" i="1" s="1"/>
  <c r="K153" i="1" s="1"/>
  <c r="B161" i="1"/>
  <c r="E161" i="1"/>
  <c r="I161" i="1"/>
  <c r="J161" i="1" s="1"/>
  <c r="K161" i="1" s="1"/>
  <c r="B164" i="1"/>
  <c r="E164" i="1"/>
  <c r="I164" i="1"/>
  <c r="J164" i="1" s="1"/>
  <c r="K164" i="1" s="1"/>
  <c r="B157" i="1"/>
  <c r="E157" i="1"/>
  <c r="I157" i="1"/>
  <c r="J157" i="1" s="1"/>
  <c r="K157" i="1" s="1"/>
  <c r="B156" i="1"/>
  <c r="E156" i="1"/>
  <c r="I156" i="1"/>
  <c r="J156" i="1" s="1"/>
  <c r="K156" i="1" s="1"/>
  <c r="B159" i="1"/>
  <c r="E159" i="1"/>
  <c r="I159" i="1"/>
  <c r="J159" i="1" s="1"/>
  <c r="K159" i="1" s="1"/>
  <c r="B171" i="1"/>
  <c r="E171" i="1"/>
  <c r="I171" i="1"/>
  <c r="J171" i="1" s="1"/>
  <c r="K171" i="1" s="1"/>
  <c r="B172" i="1"/>
  <c r="E172" i="1"/>
  <c r="I172" i="1"/>
  <c r="J172" i="1" s="1"/>
  <c r="K172" i="1" s="1"/>
  <c r="B177" i="1"/>
  <c r="E177" i="1"/>
  <c r="I177" i="1"/>
  <c r="J177" i="1" s="1"/>
  <c r="K177" i="1" s="1"/>
  <c r="B175" i="1"/>
  <c r="E175" i="1"/>
  <c r="I175" i="1"/>
  <c r="J175" i="1" s="1"/>
  <c r="K175" i="1" s="1"/>
  <c r="B178" i="1"/>
  <c r="E178" i="1"/>
  <c r="I178" i="1"/>
  <c r="J178" i="1" s="1"/>
  <c r="K178" i="1" s="1"/>
  <c r="B176" i="1"/>
  <c r="E176" i="1"/>
  <c r="I176" i="1"/>
  <c r="J176" i="1" s="1"/>
  <c r="K176" i="1" s="1"/>
  <c r="B179" i="1"/>
  <c r="E179" i="1"/>
  <c r="I179" i="1"/>
  <c r="J179" i="1" s="1"/>
  <c r="K179" i="1" s="1"/>
  <c r="B182" i="1"/>
  <c r="E182" i="1"/>
  <c r="I182" i="1"/>
  <c r="J182" i="1" s="1"/>
  <c r="K182" i="1" s="1"/>
  <c r="B191" i="1"/>
  <c r="E191" i="1"/>
  <c r="I191" i="1"/>
  <c r="J191" i="1" s="1"/>
  <c r="K191" i="1" s="1"/>
  <c r="B193" i="1"/>
  <c r="E193" i="1"/>
  <c r="I193" i="1"/>
  <c r="J193" i="1" s="1"/>
  <c r="K193" i="1" s="1"/>
  <c r="B189" i="1"/>
  <c r="E189" i="1"/>
  <c r="I189" i="1"/>
  <c r="J189" i="1" s="1"/>
  <c r="K189" i="1" s="1"/>
  <c r="B190" i="1"/>
  <c r="E190" i="1"/>
  <c r="I190" i="1"/>
  <c r="J190" i="1" s="1"/>
  <c r="K190" i="1" s="1"/>
  <c r="B192" i="1"/>
  <c r="E192" i="1"/>
  <c r="I192" i="1"/>
  <c r="J192" i="1" s="1"/>
  <c r="K192" i="1" s="1"/>
  <c r="B187" i="1"/>
  <c r="E187" i="1"/>
  <c r="I187" i="1"/>
  <c r="J187" i="1" s="1"/>
  <c r="K187" i="1" s="1"/>
  <c r="B186" i="1"/>
  <c r="E186" i="1"/>
  <c r="I186" i="1"/>
  <c r="J186" i="1" s="1"/>
  <c r="K186" i="1" s="1"/>
  <c r="B188" i="1"/>
  <c r="E188" i="1"/>
  <c r="I188" i="1"/>
  <c r="J188" i="1" s="1"/>
  <c r="K188" i="1" s="1"/>
  <c r="B185" i="1"/>
  <c r="E185" i="1"/>
  <c r="I185" i="1"/>
  <c r="J185" i="1" s="1"/>
  <c r="K185" i="1" s="1"/>
  <c r="B183" i="1"/>
  <c r="E183" i="1"/>
  <c r="I183" i="1"/>
  <c r="J183" i="1" s="1"/>
  <c r="K183" i="1" s="1"/>
  <c r="B133" i="1"/>
  <c r="E133" i="1"/>
  <c r="I133" i="1"/>
  <c r="J133" i="1" s="1"/>
  <c r="K133" i="1" s="1"/>
  <c r="B132" i="1"/>
  <c r="E132" i="1"/>
  <c r="I132" i="1"/>
  <c r="J132" i="1" s="1"/>
  <c r="K132" i="1" s="1"/>
  <c r="B138" i="1"/>
  <c r="E138" i="1"/>
  <c r="I138" i="1"/>
  <c r="J138" i="1" s="1"/>
  <c r="K138" i="1" s="1"/>
  <c r="B136" i="1"/>
  <c r="E136" i="1"/>
  <c r="I136" i="1"/>
  <c r="J136" i="1" s="1"/>
  <c r="K136" i="1" s="1"/>
  <c r="B148" i="1"/>
  <c r="E148" i="1"/>
  <c r="I148" i="1"/>
  <c r="J148" i="1" s="1"/>
  <c r="K148" i="1" s="1"/>
  <c r="B147" i="1"/>
  <c r="E147" i="1"/>
  <c r="I147" i="1"/>
  <c r="J147" i="1" s="1"/>
  <c r="K147" i="1" s="1"/>
  <c r="B150" i="1"/>
  <c r="E150" i="1"/>
  <c r="I150" i="1"/>
  <c r="J150" i="1" s="1"/>
  <c r="K150" i="1" s="1"/>
  <c r="B48" i="4"/>
  <c r="B32" i="4"/>
  <c r="B17" i="4"/>
  <c r="B37" i="4"/>
  <c r="B27" i="4"/>
  <c r="B39" i="4"/>
  <c r="B40" i="4"/>
  <c r="B46" i="4"/>
  <c r="B8" i="4"/>
  <c r="B34" i="4"/>
  <c r="B21" i="4"/>
  <c r="B44" i="4"/>
  <c r="B52" i="4"/>
  <c r="B6" i="4"/>
  <c r="B18" i="4"/>
  <c r="B50" i="4"/>
  <c r="B41" i="4"/>
  <c r="B14" i="4"/>
  <c r="B5" i="4"/>
  <c r="B36" i="4"/>
  <c r="B10" i="4"/>
  <c r="B13" i="4"/>
  <c r="B23" i="4"/>
  <c r="B25" i="4"/>
  <c r="B38" i="4"/>
  <c r="B43" i="4"/>
  <c r="B9" i="4"/>
  <c r="B30" i="4"/>
  <c r="B45" i="4"/>
  <c r="B28" i="4"/>
  <c r="B26" i="4"/>
  <c r="B35" i="4"/>
  <c r="B51" i="4"/>
  <c r="B47" i="4"/>
  <c r="B11" i="4"/>
  <c r="B42" i="4"/>
  <c r="B31" i="4"/>
  <c r="B49" i="4"/>
  <c r="B20" i="4"/>
  <c r="B24" i="4"/>
  <c r="B15" i="4"/>
  <c r="B22" i="4"/>
  <c r="B16" i="4"/>
  <c r="B53" i="4"/>
  <c r="B29" i="4"/>
  <c r="B10" i="2"/>
  <c r="B5" i="2"/>
  <c r="J3" i="4"/>
  <c r="E5" i="4"/>
  <c r="F5" i="4" s="1"/>
  <c r="B21" i="2"/>
  <c r="B22" i="2"/>
  <c r="B23" i="2"/>
  <c r="B24" i="2"/>
  <c r="B25" i="2"/>
  <c r="B26" i="2"/>
  <c r="B27" i="2"/>
  <c r="J64" i="2"/>
  <c r="I64" i="2"/>
  <c r="H64" i="2"/>
  <c r="J48" i="2"/>
  <c r="I48" i="2"/>
  <c r="H48" i="2"/>
  <c r="J41" i="2"/>
  <c r="I41" i="2"/>
  <c r="H41" i="2"/>
  <c r="H36" i="2"/>
  <c r="J36" i="2"/>
  <c r="I36" i="2"/>
  <c r="I20" i="2"/>
  <c r="I12" i="2"/>
  <c r="B52" i="3" l="1"/>
  <c r="B51" i="3"/>
  <c r="H152" i="3"/>
  <c r="H151" i="3"/>
  <c r="H150" i="3"/>
  <c r="H149" i="3"/>
  <c r="H148" i="3"/>
  <c r="H147" i="3" l="1"/>
  <c r="H146" i="3"/>
  <c r="B47" i="3"/>
  <c r="H145" i="3"/>
  <c r="B58" i="3"/>
  <c r="B57" i="3"/>
  <c r="H144" i="3"/>
  <c r="B56" i="3"/>
  <c r="H143" i="3" l="1"/>
  <c r="H8" i="3"/>
  <c r="B48" i="3"/>
  <c r="H11" i="3"/>
  <c r="H9" i="3"/>
  <c r="H12" i="3"/>
  <c r="H4" i="3"/>
  <c r="B50" i="3"/>
  <c r="B15" i="3" l="1"/>
  <c r="B14" i="3"/>
  <c r="H10" i="3" l="1"/>
  <c r="B41" i="3"/>
  <c r="H7" i="3"/>
  <c r="H6" i="3"/>
  <c r="H14" i="3"/>
  <c r="H5" i="3"/>
  <c r="B45" i="3"/>
  <c r="H15" i="3"/>
  <c r="H16" i="3"/>
  <c r="H13" i="3"/>
  <c r="H142" i="3"/>
  <c r="H17" i="3"/>
  <c r="H29" i="3"/>
  <c r="B44" i="3"/>
  <c r="H28" i="3"/>
  <c r="H27" i="3"/>
  <c r="H26" i="3"/>
  <c r="H24" i="3"/>
  <c r="H25" i="3"/>
  <c r="B43" i="3"/>
  <c r="B46" i="3"/>
  <c r="B49" i="3"/>
  <c r="B53" i="3"/>
  <c r="B55" i="3"/>
  <c r="B11" i="1" l="1"/>
  <c r="E11" i="1"/>
  <c r="I11" i="1"/>
  <c r="J11" i="1" s="1"/>
  <c r="K11" i="1" s="1"/>
  <c r="J31" i="2"/>
  <c r="I31" i="2"/>
  <c r="H31" i="2"/>
  <c r="B12" i="2"/>
  <c r="B13" i="2"/>
  <c r="B14" i="2"/>
  <c r="B15" i="2"/>
  <c r="B16" i="2"/>
  <c r="B17" i="2"/>
  <c r="B18" i="2"/>
  <c r="B19" i="2"/>
  <c r="B20" i="2"/>
  <c r="B11" i="2"/>
  <c r="B6" i="2"/>
  <c r="B7" i="2"/>
  <c r="B8" i="2"/>
  <c r="B9" i="2"/>
  <c r="H32" i="3" l="1"/>
  <c r="H31" i="3" l="1"/>
  <c r="B40" i="3" l="1"/>
  <c r="B18" i="3" l="1"/>
  <c r="B35" i="3"/>
  <c r="N16" i="3"/>
  <c r="H34" i="3"/>
  <c r="B17" i="3"/>
  <c r="B16" i="3"/>
  <c r="B34" i="3" l="1"/>
  <c r="B71" i="3"/>
  <c r="B13" i="3"/>
  <c r="B12" i="3"/>
  <c r="H22" i="3" l="1"/>
  <c r="B33" i="3"/>
  <c r="B11" i="3"/>
  <c r="H30" i="3" l="1"/>
  <c r="N15" i="3" l="1"/>
  <c r="B10" i="3"/>
  <c r="B9" i="3"/>
  <c r="B32" i="3"/>
  <c r="N14" i="3"/>
  <c r="N13" i="3"/>
  <c r="N12" i="3"/>
  <c r="N11" i="3"/>
  <c r="N4" i="3"/>
  <c r="N5" i="3"/>
  <c r="N6" i="3"/>
  <c r="N7" i="3"/>
  <c r="N8" i="3"/>
  <c r="N9" i="3"/>
  <c r="N10" i="3"/>
  <c r="B8" i="3"/>
  <c r="B7" i="3" l="1"/>
  <c r="B6" i="3" l="1"/>
  <c r="B70" i="3"/>
  <c r="J27" i="2" l="1"/>
  <c r="I27" i="2"/>
  <c r="I67" i="2" s="1"/>
  <c r="H27" i="2"/>
  <c r="J20" i="2"/>
  <c r="J67" i="2" s="1"/>
  <c r="H20" i="2"/>
  <c r="H12" i="2"/>
  <c r="H67" i="2" l="1"/>
  <c r="H18" i="3"/>
  <c r="B20" i="3"/>
  <c r="B19" i="3"/>
  <c r="B5" i="3"/>
  <c r="B54" i="3"/>
  <c r="H23" i="3" l="1"/>
  <c r="B31" i="3"/>
  <c r="H20" i="3"/>
  <c r="H19" i="3"/>
  <c r="B4" i="3" l="1"/>
  <c r="B30" i="3" l="1"/>
  <c r="B29" i="3"/>
  <c r="H33" i="3"/>
  <c r="H21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B21" i="3"/>
  <c r="H47" i="3"/>
  <c r="B69" i="3"/>
  <c r="H46" i="3"/>
  <c r="B28" i="3"/>
  <c r="H45" i="3"/>
  <c r="B27" i="3"/>
  <c r="H44" i="3"/>
  <c r="B26" i="3"/>
  <c r="H43" i="3"/>
  <c r="B68" i="3"/>
  <c r="H42" i="3"/>
  <c r="B39" i="3"/>
  <c r="H41" i="3"/>
  <c r="B38" i="3"/>
  <c r="H40" i="3"/>
  <c r="B37" i="3"/>
  <c r="H39" i="3"/>
  <c r="B36" i="3"/>
  <c r="H38" i="3"/>
  <c r="B25" i="3"/>
  <c r="H37" i="3"/>
  <c r="B24" i="3"/>
  <c r="H36" i="3"/>
  <c r="B23" i="3"/>
  <c r="H35" i="3"/>
  <c r="B22" i="3"/>
</calcChain>
</file>

<file path=xl/sharedStrings.xml><?xml version="1.0" encoding="utf-8"?>
<sst xmlns="http://schemas.openxmlformats.org/spreadsheetml/2006/main" count="2986" uniqueCount="615">
  <si>
    <t>Distribusi Nasi Minang Raya II</t>
  </si>
  <si>
    <t>Pangan</t>
  </si>
  <si>
    <t>Cerita Kolong Langit</t>
  </si>
  <si>
    <t>Ruang Yakin Cerdas</t>
  </si>
  <si>
    <t>Pendidikan</t>
  </si>
  <si>
    <t>Total PM</t>
  </si>
  <si>
    <t>Sekolah Pinggiran Sriwijaya</t>
  </si>
  <si>
    <t>Rumah Belajar Ceria</t>
  </si>
  <si>
    <t>PJ TIM</t>
  </si>
  <si>
    <t>Snack Ceria</t>
  </si>
  <si>
    <t>Syiar &amp; Dakwah</t>
  </si>
  <si>
    <t>KATEGORI PROGRAM</t>
  </si>
  <si>
    <t>Pemberdayaan</t>
  </si>
  <si>
    <t>Event Sosial</t>
  </si>
  <si>
    <t>KETERANGAN PROGRAM</t>
  </si>
  <si>
    <t>NO</t>
  </si>
  <si>
    <t>NAMA PROGRAM</t>
  </si>
  <si>
    <t>Free Food Car Sekolah Relawan</t>
  </si>
  <si>
    <t>Distribusi Makan Warung Nusantara</t>
  </si>
  <si>
    <t>Distribusi Al-Qur'an</t>
  </si>
  <si>
    <t>Sembako Lansia &amp; Guru Ngaji</t>
  </si>
  <si>
    <t>Distribusi Nasi Almaz</t>
  </si>
  <si>
    <t>TITIK MAPS</t>
  </si>
  <si>
    <t>KECAMATAN</t>
  </si>
  <si>
    <t>PROVINSI</t>
  </si>
  <si>
    <t>JUMLAH PM</t>
  </si>
  <si>
    <t>BENTUK BANTUAN</t>
  </si>
  <si>
    <t>KATEGORI SEBARAN DAMPAK</t>
  </si>
  <si>
    <t>No</t>
  </si>
  <si>
    <t>Kelurahan</t>
  </si>
  <si>
    <t>Kecamatan</t>
  </si>
  <si>
    <t>Provinsi</t>
  </si>
  <si>
    <t>Alang-Alang Lebar</t>
  </si>
  <si>
    <t>Karya Baru</t>
  </si>
  <si>
    <t>Srijaya</t>
  </si>
  <si>
    <t>Talang Kelapa</t>
  </si>
  <si>
    <t>19 Ilir</t>
  </si>
  <si>
    <t>22 Ilir</t>
  </si>
  <si>
    <t>24 Ilir</t>
  </si>
  <si>
    <t>26 Ilir</t>
  </si>
  <si>
    <t>Talang Semut</t>
  </si>
  <si>
    <t>36 Ilir</t>
  </si>
  <si>
    <t>Gandus</t>
  </si>
  <si>
    <t>Karang Anyar</t>
  </si>
  <si>
    <t>Pulo Kerto</t>
  </si>
  <si>
    <t>26 Ilir D-I</t>
  </si>
  <si>
    <t>Bukit Baru</t>
  </si>
  <si>
    <t>Bukit Lama</t>
  </si>
  <si>
    <t>Demang Lebar Daun</t>
  </si>
  <si>
    <t>Lorok Pakjo</t>
  </si>
  <si>
    <t>Siring Agung</t>
  </si>
  <si>
    <t>27 Ilir</t>
  </si>
  <si>
    <t>28 Ilir</t>
  </si>
  <si>
    <t>29 Ilir</t>
  </si>
  <si>
    <t>30 Ilir</t>
  </si>
  <si>
    <t>32 Ilir</t>
  </si>
  <si>
    <t>35 Ilir</t>
  </si>
  <si>
    <t>Kemang Manis</t>
  </si>
  <si>
    <t>13 Ilir</t>
  </si>
  <si>
    <t>14 Ilir</t>
  </si>
  <si>
    <t>15 Ilir</t>
  </si>
  <si>
    <t>16 Ilir</t>
  </si>
  <si>
    <t>17 Ilir</t>
  </si>
  <si>
    <t>18 Ilir</t>
  </si>
  <si>
    <t>20 Ilir D-I</t>
  </si>
  <si>
    <t>20 Ilir D-III</t>
  </si>
  <si>
    <t>20 Ilir D-IV</t>
  </si>
  <si>
    <t>Kepandean baru</t>
  </si>
  <si>
    <t>Sungai Pangeran</t>
  </si>
  <si>
    <t>1 Ilir</t>
  </si>
  <si>
    <t>2 Ilir</t>
  </si>
  <si>
    <t>3 Ilir</t>
  </si>
  <si>
    <t>5 Ilir</t>
  </si>
  <si>
    <t>Lawang Kidul</t>
  </si>
  <si>
    <t>Sungai Buah</t>
  </si>
  <si>
    <t>8 Ilir</t>
  </si>
  <si>
    <t>9 Ilir</t>
  </si>
  <si>
    <t>10 Ilir</t>
  </si>
  <si>
    <t>11 Ilir</t>
  </si>
  <si>
    <t>Duku</t>
  </si>
  <si>
    <t>Kuto Batu</t>
  </si>
  <si>
    <t>8 Ulu</t>
  </si>
  <si>
    <t>9/10 Ulu</t>
  </si>
  <si>
    <t>15 Ulu</t>
  </si>
  <si>
    <t>Silaberanti</t>
  </si>
  <si>
    <t>Tuan Kentang</t>
  </si>
  <si>
    <t>Bukit Sangkal</t>
  </si>
  <si>
    <t>Kalidoni</t>
  </si>
  <si>
    <t>Sei Lais</t>
  </si>
  <si>
    <t>Sei Selayur</t>
  </si>
  <si>
    <t>Sei Selincah</t>
  </si>
  <si>
    <t>Ario Kemuning</t>
  </si>
  <si>
    <t>Pahlawan</t>
  </si>
  <si>
    <t>Pipa Reja</t>
  </si>
  <si>
    <t>Sekip Jaya</t>
  </si>
  <si>
    <t>Talang Aman</t>
  </si>
  <si>
    <t>Karya Jaya</t>
  </si>
  <si>
    <t>Kemang Agung</t>
  </si>
  <si>
    <t>Kemas Rindo</t>
  </si>
  <si>
    <t>Keramasan</t>
  </si>
  <si>
    <t>Kertapati</t>
  </si>
  <si>
    <t>Ogan Baru</t>
  </si>
  <si>
    <t>Bagus Kuning</t>
  </si>
  <si>
    <t xml:space="preserve">Komperta </t>
  </si>
  <si>
    <t>Plaju Darat</t>
  </si>
  <si>
    <t>Plaju Ilir</t>
  </si>
  <si>
    <t>Plaju Ulu</t>
  </si>
  <si>
    <t>Talang Bubuk</t>
  </si>
  <si>
    <t>Talang Putri</t>
  </si>
  <si>
    <t>Sako</t>
  </si>
  <si>
    <t>Sako Baru</t>
  </si>
  <si>
    <t>Sialang</t>
  </si>
  <si>
    <t>Sukamaju</t>
  </si>
  <si>
    <t>1 Ulu</t>
  </si>
  <si>
    <t>2 Ulu</t>
  </si>
  <si>
    <t>3-4 Ulu</t>
  </si>
  <si>
    <t>5 Ulu</t>
  </si>
  <si>
    <t>7 Ulu</t>
  </si>
  <si>
    <t>11 Ulu</t>
  </si>
  <si>
    <t>12 Ulu</t>
  </si>
  <si>
    <t>13 Ulu</t>
  </si>
  <si>
    <t>14 Ulu</t>
  </si>
  <si>
    <t>16 Ulu</t>
  </si>
  <si>
    <t>Sentosa</t>
  </si>
  <si>
    <t>Tangga Takat</t>
  </si>
  <si>
    <t>Karya Mulya</t>
  </si>
  <si>
    <t>Lebung Gajah</t>
  </si>
  <si>
    <t>Sri Mulya</t>
  </si>
  <si>
    <t>Sukamulya</t>
  </si>
  <si>
    <t>Kebun Bunga</t>
  </si>
  <si>
    <t>Sukabangun</t>
  </si>
  <si>
    <t>Sukajaya</t>
  </si>
  <si>
    <t>Sukarami</t>
  </si>
  <si>
    <t>Sukodadi</t>
  </si>
  <si>
    <t>Talang Betutu</t>
  </si>
  <si>
    <t>Talang Jambe</t>
  </si>
  <si>
    <t>Bukit Kecil</t>
  </si>
  <si>
    <t>23 Ilir</t>
  </si>
  <si>
    <t>Karang Jaya</t>
  </si>
  <si>
    <t>Ilir Barat I</t>
  </si>
  <si>
    <t>Ilir Barat II</t>
  </si>
  <si>
    <t>Ilir Timur I</t>
  </si>
  <si>
    <t>Ilir Timur II</t>
  </si>
  <si>
    <t>Ilir Timur III</t>
  </si>
  <si>
    <t>Jakabaring</t>
  </si>
  <si>
    <t>Kemuning</t>
  </si>
  <si>
    <t>Plaju</t>
  </si>
  <si>
    <t>Seberang Ulu I</t>
  </si>
  <si>
    <t>Seberang Ulu II</t>
  </si>
  <si>
    <t>Sematang Borang</t>
  </si>
  <si>
    <t>Sumatera Selatan</t>
  </si>
  <si>
    <t>Kabupaten/Kota</t>
  </si>
  <si>
    <t>Palembang</t>
  </si>
  <si>
    <t>Beras Untuk Santri, Yatim &amp; Dhuafa</t>
  </si>
  <si>
    <t>Air Mineral Masjid</t>
  </si>
  <si>
    <t>Sukamoro</t>
  </si>
  <si>
    <t>Banyuasin</t>
  </si>
  <si>
    <t>Pemulutan</t>
  </si>
  <si>
    <t>Ogan Ilir</t>
  </si>
  <si>
    <t>Pemulutan Ulu</t>
  </si>
  <si>
    <t>Distribusi Rice Box Bubur Jolly</t>
  </si>
  <si>
    <t>Nama Lokasi Program</t>
  </si>
  <si>
    <t>TANGGAL</t>
  </si>
  <si>
    <t>KAB./KOTA</t>
  </si>
  <si>
    <t>Rice Box Dosen Unsri</t>
  </si>
  <si>
    <t>Sharing Knowledge</t>
  </si>
  <si>
    <t>Kenten</t>
  </si>
  <si>
    <t>Kenten Laut</t>
  </si>
  <si>
    <t>Social Response</t>
  </si>
  <si>
    <t>Tanah Mas</t>
  </si>
  <si>
    <t>Penyaluran PLP</t>
  </si>
  <si>
    <t>Pasar Sehat</t>
  </si>
  <si>
    <t>Palestina</t>
  </si>
  <si>
    <t>Bantuan Pendidikan Palestina</t>
  </si>
  <si>
    <t>Bantuan Pangan Palestina</t>
  </si>
  <si>
    <t>Merah Mata</t>
  </si>
  <si>
    <t>Rekap Penerima Manfaat Berdasarkan Jenis Program</t>
  </si>
  <si>
    <t>Rekap Penerima Manfaat Berdasarkan Kategori Program &amp; Titik Lokasi</t>
  </si>
  <si>
    <t>Nama Program</t>
  </si>
  <si>
    <t>Jumlah Pelaksanaan</t>
  </si>
  <si>
    <t>Jumlah PM</t>
  </si>
  <si>
    <t>PROGRAM PENDIDIKAN</t>
  </si>
  <si>
    <t>Jumlah Titik Lokasi</t>
  </si>
  <si>
    <t>Pendidikan Formal PAUD KB CERIA</t>
  </si>
  <si>
    <t>Pendidikan Formal PAUD SPS</t>
  </si>
  <si>
    <t xml:space="preserve">Pendidikan Informal Rumah Belajar Ceria </t>
  </si>
  <si>
    <t xml:space="preserve">Pendidikan Informal Sekolah Pinggiran Sriwijaya </t>
  </si>
  <si>
    <t>Pendidikan Informal Ruang Yatim Cerdas</t>
  </si>
  <si>
    <t>Pendidikan Informal Cerita Kolong Langit</t>
  </si>
  <si>
    <t>Rumah Tafizh Al- Amal</t>
  </si>
  <si>
    <t>Free Food Car</t>
  </si>
  <si>
    <t>TOTAL</t>
  </si>
  <si>
    <t>Beras untuk Yatim Dhufa</t>
  </si>
  <si>
    <t>PROGRAM PANGAN</t>
  </si>
  <si>
    <t>TOTAL KESELURUHAN</t>
  </si>
  <si>
    <t xml:space="preserve">PROGRAM PEMBERDAYAAN </t>
  </si>
  <si>
    <t>Program Pemberdayaan Pembuatan Keset Kaki</t>
  </si>
  <si>
    <t>PROGRAM EVENT SOSIAL</t>
  </si>
  <si>
    <t>Pelaksanaan</t>
  </si>
  <si>
    <t>Qurban Masyrakat Pedado</t>
  </si>
  <si>
    <t>REKAP SEBARAN DAMPAK PROGRAM BERDASARKAN LOKASI DARI GERAKAN KERELAWANAN</t>
  </si>
  <si>
    <t>Kab/Kota</t>
  </si>
  <si>
    <t>Negara</t>
  </si>
  <si>
    <t>Kuantitas program</t>
  </si>
  <si>
    <t>Indonesia</t>
  </si>
  <si>
    <t>Total</t>
  </si>
  <si>
    <t>Penyaluran Zakat</t>
  </si>
  <si>
    <t>Kolaborasi Nakama</t>
  </si>
  <si>
    <t>Masterpiece Project IVC</t>
  </si>
  <si>
    <t>Pengabdian Dosen</t>
  </si>
  <si>
    <t>Sasaran PM</t>
  </si>
  <si>
    <t>Anak-Anak Pinggiran</t>
  </si>
  <si>
    <t>Anak-Anak Yatim Dhuafa</t>
  </si>
  <si>
    <t>Santri Pondok Pesantren</t>
  </si>
  <si>
    <t>Santri Rumah Tahfidz</t>
  </si>
  <si>
    <t>Santri TPA/TPQ</t>
  </si>
  <si>
    <t>Lansia Pejuang Nafkah Dhuafa</t>
  </si>
  <si>
    <t>Pejuang Nafkah</t>
  </si>
  <si>
    <t>Ibu-Ibu Pejuang Nafkah</t>
  </si>
  <si>
    <t>Relawan Satu Amal Indonesia</t>
  </si>
  <si>
    <t>Siswa Sekolah</t>
  </si>
  <si>
    <t>Jama'ah Masjid</t>
  </si>
  <si>
    <t>Free Food Car Palembang Info</t>
  </si>
  <si>
    <t>Edutrip CKL</t>
  </si>
  <si>
    <t>Sultan Muda Digination Run</t>
  </si>
  <si>
    <t>Masyarakat Umum</t>
  </si>
  <si>
    <t>Segamit</t>
  </si>
  <si>
    <t>Semende Darat Ulu</t>
  </si>
  <si>
    <t>Muara Enim</t>
  </si>
  <si>
    <t>20 Ilir D-II</t>
  </si>
  <si>
    <t>Manasik Haji</t>
  </si>
  <si>
    <t>Distribusi Rice Box Ayam Geprek</t>
  </si>
  <si>
    <t>Talang Buluh</t>
  </si>
  <si>
    <t>Bantuan Pertamina</t>
  </si>
  <si>
    <t>Edutrip RYC</t>
  </si>
  <si>
    <t>Sajadah Santri</t>
  </si>
  <si>
    <t>Distribusi Nasi Pejuang Nafkah</t>
  </si>
  <si>
    <t>Clean Up Village</t>
  </si>
  <si>
    <t>Lingkungan</t>
  </si>
  <si>
    <t>Gerakan Bersih-Bersih Kota</t>
  </si>
  <si>
    <t>Tanjung Batu</t>
  </si>
  <si>
    <t>Burai</t>
  </si>
  <si>
    <t>Kampung Sungai Pedado</t>
  </si>
  <si>
    <t>RBC</t>
  </si>
  <si>
    <t>Distribusi Rice Box</t>
  </si>
  <si>
    <t>Rice Box</t>
  </si>
  <si>
    <t>Masyarakat Tunanetra</t>
  </si>
  <si>
    <t>TPA 2 Karya Jaya</t>
  </si>
  <si>
    <t>SPS</t>
  </si>
  <si>
    <t>RYC</t>
  </si>
  <si>
    <t>Distribusi Air Bersih</t>
  </si>
  <si>
    <t>Beasiswa Pendidikan BGH</t>
  </si>
  <si>
    <t>Indralaya</t>
  </si>
  <si>
    <t>Sakatiga</t>
  </si>
  <si>
    <t>Timbangan</t>
  </si>
  <si>
    <t>Indralaya Utara</t>
  </si>
  <si>
    <t>Respon Bencana (Pangan)</t>
  </si>
  <si>
    <t>Respon Bencana (Kebutuhan Sekolah)</t>
  </si>
  <si>
    <t>Respon Bencana (Bantuan Kesehatan)</t>
  </si>
  <si>
    <t xml:space="preserve">Bersih-Bersih Rumah Korban </t>
  </si>
  <si>
    <t>Bantuan Perlengkapan Sekolah</t>
  </si>
  <si>
    <t xml:space="preserve">Bantuan Snack Ceria </t>
  </si>
  <si>
    <t>Respon Bencana (Recovery)</t>
  </si>
  <si>
    <t>Bantuan Makan Sehat</t>
  </si>
  <si>
    <t xml:space="preserve">Bantuan Masker </t>
  </si>
  <si>
    <t>Supiturang</t>
  </si>
  <si>
    <t>Pronojiwo</t>
  </si>
  <si>
    <t>Lumajang</t>
  </si>
  <si>
    <t>Jawa Timur</t>
  </si>
  <si>
    <t>Oro-Oro Ombo</t>
  </si>
  <si>
    <t>Medan</t>
  </si>
  <si>
    <t>Kampung Baru</t>
  </si>
  <si>
    <t>Sumatera Utara</t>
  </si>
  <si>
    <t>Medan Maimun</t>
  </si>
  <si>
    <t>Medan Marelan</t>
  </si>
  <si>
    <t>Terjun</t>
  </si>
  <si>
    <t>Bantuan Hygiene Kit</t>
  </si>
  <si>
    <t>Paya Pasir</t>
  </si>
  <si>
    <t>Padang Tualang</t>
  </si>
  <si>
    <t>Salareh Aia Timur</t>
  </si>
  <si>
    <t>Palembayan</t>
  </si>
  <si>
    <t>Agam</t>
  </si>
  <si>
    <t>Sumatera Barat</t>
  </si>
  <si>
    <t>Sibalanga</t>
  </si>
  <si>
    <t>Adian Koting</t>
  </si>
  <si>
    <t>Tapanuli Utara</t>
  </si>
  <si>
    <t>Hygiene Kit</t>
  </si>
  <si>
    <t>Paya Bedi</t>
  </si>
  <si>
    <t>Rantau</t>
  </si>
  <si>
    <t>Aceh Tamiang</t>
  </si>
  <si>
    <t>Nangroe Aceh Darussalam</t>
  </si>
  <si>
    <t>Salareh Aia</t>
  </si>
  <si>
    <t>Al-Qur'an</t>
  </si>
  <si>
    <t>TPA Ghaniyum Hamid</t>
  </si>
  <si>
    <t>Perdamaian</t>
  </si>
  <si>
    <t>Kota Kuala Simpang</t>
  </si>
  <si>
    <t xml:space="preserve">Aceh Tamiang </t>
  </si>
  <si>
    <t>Bantuan Medis Bencana</t>
  </si>
  <si>
    <t>Kesehatan</t>
  </si>
  <si>
    <t>Karang baru</t>
  </si>
  <si>
    <t>Sekumur</t>
  </si>
  <si>
    <t>Sakerak</t>
  </si>
  <si>
    <t>Pahlawann</t>
  </si>
  <si>
    <t>Simpang Empat</t>
  </si>
  <si>
    <t>Bantuan Air Bersih</t>
  </si>
  <si>
    <t>Perlengkapan Bayi</t>
  </si>
  <si>
    <t>Kota Lintang Bawah</t>
  </si>
  <si>
    <t>Nasi Prasmanan</t>
  </si>
  <si>
    <t>Aufa &amp; Tim</t>
  </si>
  <si>
    <t>Khitanan Anak</t>
  </si>
  <si>
    <t>Kado Akhir Tahun</t>
  </si>
  <si>
    <t>Ponpes Al-Islah Putra</t>
  </si>
  <si>
    <t>Ruang Ceria Anak-Anak</t>
  </si>
  <si>
    <t>Balai</t>
  </si>
  <si>
    <t>Bendahara</t>
  </si>
  <si>
    <t>Kebun Rantau</t>
  </si>
  <si>
    <t>Tanjung Mancang</t>
  </si>
  <si>
    <t>Kejuruan Muda</t>
  </si>
  <si>
    <t>Mainan Anak</t>
  </si>
  <si>
    <t>Benua Raja</t>
  </si>
  <si>
    <t>Baby Kit</t>
  </si>
  <si>
    <t>Tanah Berongga</t>
  </si>
  <si>
    <t>Rumah Tahfidz Al-Amal</t>
  </si>
  <si>
    <t>Payaraman</t>
  </si>
  <si>
    <t>Talang Seleman</t>
  </si>
  <si>
    <t>Respon Bencana (Bantuan Air Bersih)</t>
  </si>
  <si>
    <t>Respon Bencana (Psikososial)</t>
  </si>
  <si>
    <t>Bantuan Al-Qur'an</t>
  </si>
  <si>
    <t>Landuh</t>
  </si>
  <si>
    <t>Bantuan Family Kit</t>
  </si>
  <si>
    <t>Bantuan Tenda Keluarga</t>
  </si>
  <si>
    <t>Durian</t>
  </si>
  <si>
    <t>Bantuan Logistik Sembako</t>
  </si>
  <si>
    <t>Sembako</t>
  </si>
  <si>
    <t>Mekarjaya</t>
  </si>
  <si>
    <t>Bantuan Tenda</t>
  </si>
  <si>
    <t>Paya Kulbi</t>
  </si>
  <si>
    <t>Alur Cucur</t>
  </si>
  <si>
    <t>Selimut</t>
  </si>
  <si>
    <t>Tanah Terban</t>
  </si>
  <si>
    <t>Iqra'</t>
  </si>
  <si>
    <t>Marlempang</t>
  </si>
  <si>
    <t>Padang Langgis</t>
  </si>
  <si>
    <t>Seruway</t>
  </si>
  <si>
    <t>Alur Manis</t>
  </si>
  <si>
    <t>Bantuan Boneka</t>
  </si>
  <si>
    <t>Bantuan Mainan</t>
  </si>
  <si>
    <t>Desa Paya Kulbi</t>
  </si>
  <si>
    <t>PROGRAM RESPON BENCANA (BANTUAN AIR BERSIH)</t>
  </si>
  <si>
    <t>PROGRAM RESPON BENCANA (BANTUAN KESEHATAN)</t>
  </si>
  <si>
    <t>PROGRAM RESPON BENCANA (BANTUAN PANGAN)</t>
  </si>
  <si>
    <t>Bantuan Makanan Sehat</t>
  </si>
  <si>
    <t>Bantuan Snack Ceria</t>
  </si>
  <si>
    <t>Bantuan Ruang Ceria</t>
  </si>
  <si>
    <t>Bantuan Baby Kit</t>
  </si>
  <si>
    <t>PROGRAM RESPON BENCANA (PSIKOSOSIAL)</t>
  </si>
  <si>
    <t>PROGRAM RESPON BENCANA (RECOVERY)</t>
  </si>
  <si>
    <t>Bantuan Bersih-Bersih Rumah</t>
  </si>
  <si>
    <t>Bantuan Penyaluran PLP</t>
  </si>
  <si>
    <t>Rekap Penerima Manfaat Bencana Aceh Berdasarkan Jenis Program</t>
  </si>
  <si>
    <t>Rekap Penerima Manfaat Bencana Sumatera Utara Berdasarkan Jenis Program</t>
  </si>
  <si>
    <t>Rekap PM Bencana Sumatera Utara Berdasarkan Kategori Program &amp; Titik Lokasi</t>
  </si>
  <si>
    <t>Rekap Penerima Manfaat Bencana Sumatera Barat Berdasarkan Jenis Program</t>
  </si>
  <si>
    <t>Rekap PM Bencana Sumatera Barat Berdasarkan Kategori Program &amp; Titik Lokasi</t>
  </si>
  <si>
    <t>Rekap PM Bencana Aceh Berdasarkan Kategori Program &amp; Titik Lokasi</t>
  </si>
  <si>
    <t>Rekap Penerima Manfaat Bencana Jawa Timur Berdasarkan Jenis Program</t>
  </si>
  <si>
    <t>Rekap PM Bencana Jawa Timur Berdasarkan Kategori Program &amp; Titik Lokasi</t>
  </si>
  <si>
    <t>Bantuan Masker</t>
  </si>
  <si>
    <t>Rekap Impelementasi Program Satu Amal Indonesia Bulan Januari 2026</t>
  </si>
  <si>
    <t>https://maps.app.goo.gl/G8j2fBaMKr9bJp118</t>
  </si>
  <si>
    <t>Halte Kambang Iwak</t>
  </si>
  <si>
    <t>Makan Prasmanan</t>
  </si>
  <si>
    <t>https://maps.app.goo.gl/GAUzH5M8gzbqXzxp9</t>
  </si>
  <si>
    <t>https://maps.app.goo.gl/RWuaaWqXtAopiwyCA</t>
  </si>
  <si>
    <t>https://maps.app.goo.gl/9A6WVG8z9mZbz8Pt5</t>
  </si>
  <si>
    <t>TPA Uswatunn Hasanah</t>
  </si>
  <si>
    <t>PAUD IT Uswatunn Hasanah</t>
  </si>
  <si>
    <t>Tim RTA</t>
  </si>
  <si>
    <t>Tim Paud Ceria</t>
  </si>
  <si>
    <t>https://maps.app.goo.gl/5AbkQcj4TrNB4v9B8</t>
  </si>
  <si>
    <t>PAUD KB Ceria Karya Jaya</t>
  </si>
  <si>
    <t>PAUD KB Ceria Sungai Pedado</t>
  </si>
  <si>
    <t>https://maps.app.goo.gl/qatEc75PU1hSthUj8</t>
  </si>
  <si>
    <t>Ponpes Azizah</t>
  </si>
  <si>
    <t>https://maps.app.goo.gl/uWDWDgF8z7FAXJLz5</t>
  </si>
  <si>
    <t>Ngisi Materi</t>
  </si>
  <si>
    <t>Kak Pajin &amp; Tim</t>
  </si>
  <si>
    <t>https://maps.app.goo.gl/92tCxkaX9JQokzps9</t>
  </si>
  <si>
    <t>Rumah Susun Palembang</t>
  </si>
  <si>
    <t>CF</t>
  </si>
  <si>
    <t>https://maps.app.goo.gl/iuBGsozAXz1ZcqFw9</t>
  </si>
  <si>
    <t>TPA Al-Fattah</t>
  </si>
  <si>
    <t>https://maps.app.goo.gl/iSjQqyHnWSGNdpWH6</t>
  </si>
  <si>
    <t>https://maps.app.goo.gl/VMXffqnFREQvFqvp7</t>
  </si>
  <si>
    <t>Nasi Bungkus</t>
  </si>
  <si>
    <t>Fauzia &amp; Tim</t>
  </si>
  <si>
    <t>39 Paket Sembakok</t>
  </si>
  <si>
    <t>Bersih-Bersih Masjid</t>
  </si>
  <si>
    <t>Kampung Landuh</t>
  </si>
  <si>
    <t>Bersih Masjid</t>
  </si>
  <si>
    <t>Tim Aceh</t>
  </si>
  <si>
    <t>https://maps.app.goo.gl/S5DGLC5xZf3SAWGe7</t>
  </si>
  <si>
    <t>https://maps.app.goo.gl/ihyRhg9QNWEjZT1G8</t>
  </si>
  <si>
    <t>Dusun Tanah Terban</t>
  </si>
  <si>
    <t>Bantuan Mesin Air &amp; Genset</t>
  </si>
  <si>
    <t>https://maps.app.goo.gl/FtWQBkMx6qK65TgBA</t>
  </si>
  <si>
    <t>Pantai Tinjau</t>
  </si>
  <si>
    <t>Sekerak</t>
  </si>
  <si>
    <t>Masjid Darussalam</t>
  </si>
  <si>
    <t>Mesin Air &amp; Genset</t>
  </si>
  <si>
    <t>MekarJaya</t>
  </si>
  <si>
    <t>https://maps.app.goo.gl/LrqQ7yRbHCYiMBsu8</t>
  </si>
  <si>
    <t>Dusun Kebun Ubi</t>
  </si>
  <si>
    <t>https://maps.app.goo.gl/rJ5ZJeHd9wW8cWtW7</t>
  </si>
  <si>
    <t>Dusun Cempaka</t>
  </si>
  <si>
    <t>Cek Kesehatan &amp; Obat</t>
  </si>
  <si>
    <t>https://maps.app.goo.gl/N11riKWEkPSSrmox5</t>
  </si>
  <si>
    <t>Kebun Tanjung Seumantoh</t>
  </si>
  <si>
    <t>Dusun Duradeli</t>
  </si>
  <si>
    <t>https://maps.app.goo.gl/yeXiYGHfSqgYpFTj9</t>
  </si>
  <si>
    <t>https://maps.app.goo.gl/vJMG5cRPfP6ZD57h7</t>
  </si>
  <si>
    <t>Bantuan Pembangunan Musholla Darurat</t>
  </si>
  <si>
    <t>Dusun Piang</t>
  </si>
  <si>
    <t>Dusun Ingin Jaya</t>
  </si>
  <si>
    <t>Rongoh</t>
  </si>
  <si>
    <t>Tamiang Hulu</t>
  </si>
  <si>
    <t>Sukajadi Paya Bujuk</t>
  </si>
  <si>
    <t>Musholla Darurat</t>
  </si>
  <si>
    <t>Dusun Alur Meranti</t>
  </si>
  <si>
    <t>Dusun Kampung</t>
  </si>
  <si>
    <t>Sungai Liput</t>
  </si>
  <si>
    <t>https://maps.app.goo.gl/TeeskN6298qykBQj9</t>
  </si>
  <si>
    <t>https://maps.app.goo.gl/1mZw1T9AqT8KqSHA8</t>
  </si>
  <si>
    <t>Musholla Al-Huda, Dusun Alur Permai</t>
  </si>
  <si>
    <t>Dusun Inpres</t>
  </si>
  <si>
    <t>https://maps.app.goo.gl/7Xp9x8AXk74ALdPq7</t>
  </si>
  <si>
    <t>Bantuan Pembangunan Sumur Bor</t>
  </si>
  <si>
    <t>Sumur Bor</t>
  </si>
  <si>
    <t>https://maps.app.goo.gl/zbwNRBsTMrYWEWjf6</t>
  </si>
  <si>
    <t>https://maps.app.goo.gl/XztHtWxZHBNNMLtT7</t>
  </si>
  <si>
    <t>https://maps.app.goo.gl/oMaaeR96pvYguNvq6</t>
  </si>
  <si>
    <t>Desa Umah Taring</t>
  </si>
  <si>
    <t>Desa Lokop</t>
  </si>
  <si>
    <t>Umah Taring</t>
  </si>
  <si>
    <t>Serba Jadi</t>
  </si>
  <si>
    <t>Aceh Timur</t>
  </si>
  <si>
    <t>Lokop</t>
  </si>
  <si>
    <t>Bantuan Perlengkapan Tidur</t>
  </si>
  <si>
    <t>Bantuan Perlengkapan Ibadah</t>
  </si>
  <si>
    <t>Kasur Palembang</t>
  </si>
  <si>
    <t>Bantal</t>
  </si>
  <si>
    <t>Mukenah</t>
  </si>
  <si>
    <t>4 Dus Pampers</t>
  </si>
  <si>
    <t>13 Dus Mie Instan</t>
  </si>
  <si>
    <t>https://maps.app.goo.gl/SNvx8AppG7KRANxUA</t>
  </si>
  <si>
    <t>Dusun Durian Delapan</t>
  </si>
  <si>
    <t>Sekerak Kanan</t>
  </si>
  <si>
    <t>https://maps.app.goo.gl/NXEKUc8XNK6Hj91L8</t>
  </si>
  <si>
    <t>Dusun Paya Bujuk</t>
  </si>
  <si>
    <t>Bantuan Filter Air</t>
  </si>
  <si>
    <t>Filterisasi Air</t>
  </si>
  <si>
    <t xml:space="preserve">Dusun Makmur </t>
  </si>
  <si>
    <t>https://maps.app.goo.gl/kBrF3G2jdioEDHqL7</t>
  </si>
  <si>
    <t>Pemulutan Dalam</t>
  </si>
  <si>
    <t>https://maps.app.goo.gl/jre1VJBYWESatK5n7</t>
  </si>
  <si>
    <t>Ponpes &amp; SIT Azizah Darussalam</t>
  </si>
  <si>
    <t>Tim VED</t>
  </si>
  <si>
    <t>b</t>
  </si>
  <si>
    <t>Tim Uswatunn</t>
  </si>
  <si>
    <t>https://maps.app.goo.gl/Sua1CEAmB6KFuSZt6</t>
  </si>
  <si>
    <t>https://maps.app.goo.gl/65px8k8syG1SNhYD9</t>
  </si>
  <si>
    <t>Kampung Sungai Ijuk</t>
  </si>
  <si>
    <t>CKL</t>
  </si>
  <si>
    <t>https://maps.app.goo.gl/x446EywNzLAVYRC28</t>
  </si>
  <si>
    <t>Sukajadi</t>
  </si>
  <si>
    <t>Bandar Mulia</t>
  </si>
  <si>
    <t>MDTA Al-Furqon Desa Sukajadi</t>
  </si>
  <si>
    <t>https://maps.app.goo.gl/zJyrYEfHjc33NAdBA</t>
  </si>
  <si>
    <t>Dalam</t>
  </si>
  <si>
    <t>Rumah Qur'an Nurul Iman Desa Dalam</t>
  </si>
  <si>
    <t>KELURAHAN / DESA</t>
  </si>
  <si>
    <t>https://maps.app.goo.gl/TMH8Std4kzNsKDNN7</t>
  </si>
  <si>
    <t>Desa Purwodadi</t>
  </si>
  <si>
    <t>Purwodadi</t>
  </si>
  <si>
    <t>Tanjung Seumantoh</t>
  </si>
  <si>
    <t>https://maps.app.goo.gl/2Ju2BPSVjRyB1nHA9</t>
  </si>
  <si>
    <t xml:space="preserve">TPA Nurul Qaromah Dusun Karomah </t>
  </si>
  <si>
    <t>Ponpes Raudhatul jannah dan Tk Miftahul Kahri</t>
  </si>
  <si>
    <t>https://maps.app.goo.gl/a2K6T8eodoTdFVmE6</t>
  </si>
  <si>
    <t>Bantuan Tedmond Air</t>
  </si>
  <si>
    <t>Tedmond Air</t>
  </si>
  <si>
    <t>Tas Sekolah</t>
  </si>
  <si>
    <t>Alat Rumah Tangga</t>
  </si>
  <si>
    <t>Dusun Payu Batu</t>
  </si>
  <si>
    <t>https://maps.app.goo.gl/MYuhz9Y8bocZD8pG8</t>
  </si>
  <si>
    <t>Family Box</t>
  </si>
  <si>
    <t>https://maps.app.goo.gl/yS5AxFgUr5kYDQVy8</t>
  </si>
  <si>
    <t>Paud Kasih Sayang</t>
  </si>
  <si>
    <t>Kursi, Meja, Lemari &amp; Timbangan Digital</t>
  </si>
  <si>
    <t>Crayon</t>
  </si>
  <si>
    <t>TPA Sirotul Azizah</t>
  </si>
  <si>
    <t>https://maps.app.goo.gl/SzzzFGfDmbQ6LfLE6</t>
  </si>
  <si>
    <t>Pop Mie</t>
  </si>
  <si>
    <t>https://maps.app.goo.gl/j7KPkriUXawUswF5A</t>
  </si>
  <si>
    <t>Masjid Al-Husna Mekarjaya</t>
  </si>
  <si>
    <t>Pembangunan Sumur Bor</t>
  </si>
  <si>
    <t>Tim Charity</t>
  </si>
  <si>
    <t>Dusun Rambutan</t>
  </si>
  <si>
    <t>Sajadah</t>
  </si>
  <si>
    <t>https://maps.app.goo.gl/Np9YeStP29pG4Gn99</t>
  </si>
  <si>
    <t>Sampaimah</t>
  </si>
  <si>
    <t>Manyak Payed</t>
  </si>
  <si>
    <t>Ponpes Darusa'adah</t>
  </si>
  <si>
    <t>https://maps.app.goo.gl/d1jkDnW5jsMwyG2b6</t>
  </si>
  <si>
    <t>Alur Tani I</t>
  </si>
  <si>
    <t>Kampung Alur Tani I</t>
  </si>
  <si>
    <t>2 Unit Filterisasi Air</t>
  </si>
  <si>
    <t>Masjid Nurul Iman, Desa Tanjung Mancang</t>
  </si>
  <si>
    <t>https://maps.app.goo.gl/6eu58pz62zTBULKa9</t>
  </si>
  <si>
    <t>Makan Sehat</t>
  </si>
  <si>
    <t>https://maps.app.goo.gl/Eszpt5FH9SQGZcME6</t>
  </si>
  <si>
    <t>Rumah Yuk Dian</t>
  </si>
  <si>
    <t>Kak Bahrul</t>
  </si>
  <si>
    <t>https://maps.app.goo.gl/gDtbnprVSW5VXYe37</t>
  </si>
  <si>
    <t>Rumah Pak RT Sungai Tengkorak</t>
  </si>
  <si>
    <t>https://maps.app.goo.gl/iFwmXE8zMg5n1pau8</t>
  </si>
  <si>
    <t>https://maps.app.goo.gl/WuiJhU6v5Qf4xUL18</t>
  </si>
  <si>
    <t>Polsri</t>
  </si>
  <si>
    <t>https://maps.app.goo.gl/ghS6acCwpFMU53By8</t>
  </si>
  <si>
    <t>https://maps.app.goo.gl/3eTMQ6MR23Dq4K517</t>
  </si>
  <si>
    <t>Masjid Al-Ghazali Unsri</t>
  </si>
  <si>
    <t>Juna &amp; Tim</t>
  </si>
  <si>
    <t>https://maps.app.goo.gl/D3AL4PYFjzVrqTsBA</t>
  </si>
  <si>
    <t>Ma'had Tahfidz Darussalam</t>
  </si>
  <si>
    <t>80 Kg</t>
  </si>
  <si>
    <t>https://maps.app.goo.gl/RW6ZWv9W5LiMUCJ69</t>
  </si>
  <si>
    <t>Ma'had Al Qur'an Dzin Nuur</t>
  </si>
  <si>
    <t>Pondok Pesantren Hamalatul Qur'an</t>
  </si>
  <si>
    <t>https://maps.app.goo.gl/1YrR5sDH1b5WF8XL9</t>
  </si>
  <si>
    <t>https://maps.app.goo.gl/7eXL56Z2MB89S57z6</t>
  </si>
  <si>
    <t>Rumah Tahfidz Baitul Huffadz</t>
  </si>
  <si>
    <t>Pondok Pesantren Nurul Fattah</t>
  </si>
  <si>
    <t>https://maps.app.goo.gl/68zon7txqf3onn67A</t>
  </si>
  <si>
    <t>Pondok Pesatren ma'had Al-Kautsar</t>
  </si>
  <si>
    <t>https://maps.app.goo.gl/XKZpmwwHttCazwFm8</t>
  </si>
  <si>
    <t>Pondok Pesantren Izzatullah</t>
  </si>
  <si>
    <t>https://maps.app.goo.gl/G5xkbf9242vCPW7L6</t>
  </si>
  <si>
    <t>Pondok Pesantren Al-Istikhlas</t>
  </si>
  <si>
    <t>https://maps.app.goo.gl/GjTJzefLNzAKno3GA</t>
  </si>
  <si>
    <t>https://maps.app.goo.gl/H58bj4SVdDxo9S4b6</t>
  </si>
  <si>
    <t>60 Kg Beras</t>
  </si>
  <si>
    <t>https://maps.app.goo.gl/rw5EkoKC2yGLcugNA</t>
  </si>
  <si>
    <t>Ponpes Al-Islah Putri</t>
  </si>
  <si>
    <t xml:space="preserve">60 Kg Beras </t>
  </si>
  <si>
    <t>https://maps.app.goo.gl/srn2QykT842UH5Wq7</t>
  </si>
  <si>
    <t>Ponpes Alfattah Wannajah</t>
  </si>
  <si>
    <t>50 Kg Beras</t>
  </si>
  <si>
    <t>https://maps.app.goo.gl/cyMfxghsWKRjgFHc9</t>
  </si>
  <si>
    <t>Ponpes SMB</t>
  </si>
  <si>
    <t>https://maps.app.goo.gl/LAeGeg9xRLAQPQUE7</t>
  </si>
  <si>
    <t>Ponpes Ki Merogan</t>
  </si>
  <si>
    <t>Talang jambe</t>
  </si>
  <si>
    <t>https://maps.app.goo.gl/uKTkWCySeDP3MpXf7</t>
  </si>
  <si>
    <t>TK-TPA Al-Ikhlas GPS</t>
  </si>
  <si>
    <t>Sri mulya</t>
  </si>
  <si>
    <t>https://maps.app.goo.gl/evmzb7mBUUMirnjX7</t>
  </si>
  <si>
    <t>Panti Asuhan Peduli Anak Yatim</t>
  </si>
  <si>
    <t>https://maps.app.goo.gl/b9jv2fkUmtqQmnrf8</t>
  </si>
  <si>
    <t>Rumah Tahfidz Al-Muhajirin</t>
  </si>
  <si>
    <t>Bantuan Pengajaran Agama</t>
  </si>
  <si>
    <t>Jajan bersama</t>
  </si>
  <si>
    <t>Bakso</t>
  </si>
  <si>
    <t>https://maps.app.goo.gl/qwfNo31GPX6Zzf9w6</t>
  </si>
  <si>
    <t>Bandar Mahligai</t>
  </si>
  <si>
    <t>Desa bandar Mahligai</t>
  </si>
  <si>
    <t>6 Unit Tenda</t>
  </si>
  <si>
    <t>Alur Nunang</t>
  </si>
  <si>
    <t>https://maps.app.goo.gl/ZwT9eK2DkG5MbYRk7</t>
  </si>
  <si>
    <t>Desa Alur Nunang</t>
  </si>
  <si>
    <t>Kegiatan Keagamaan Isra' Mi'raj</t>
  </si>
  <si>
    <t>Peringatan Isra' Mi'raj</t>
  </si>
  <si>
    <t>Musholla Al-maghfiroh, Dusun Alur Permai</t>
  </si>
  <si>
    <t>https://maps.app.goo.gl/Av8N2dJA2zRcDuW86</t>
  </si>
  <si>
    <t>Jalanan Sekitar Unsri</t>
  </si>
  <si>
    <t>https://maps.app.goo.gl/w3iykSj88nznuGo58</t>
  </si>
  <si>
    <t>Lapas Anak</t>
  </si>
  <si>
    <t>Intan</t>
  </si>
  <si>
    <t>https://maps.app.goo.gl/MvjmenBHcKnJKrNUA</t>
  </si>
  <si>
    <t>Simpang Charitas</t>
  </si>
  <si>
    <t>Maura &amp; Tim</t>
  </si>
  <si>
    <t>Tangan Ibu</t>
  </si>
  <si>
    <t>https://maps.app.goo.gl/TtaBVd2RCtxh1uNXA</t>
  </si>
  <si>
    <t>Sedekah Ruah Masyarakat Tembesu</t>
  </si>
  <si>
    <t>https://maps.app.goo.gl/qYagXQrB2ivjmqL58</t>
  </si>
  <si>
    <t>Sekretariat Satu Amal Indonesia</t>
  </si>
  <si>
    <t>Tim CN</t>
  </si>
  <si>
    <t>Danesh &amp; Tim</t>
  </si>
  <si>
    <t>Borong UMKM</t>
  </si>
  <si>
    <t>Perlengkapan Tidur</t>
  </si>
  <si>
    <t>https://maps.app.goo.gl/4uGNpYzmtRGYmFsN8</t>
  </si>
  <si>
    <t>Dusun 1 Blok 5, Desa Blang Kandis</t>
  </si>
  <si>
    <t>Blang Kandis</t>
  </si>
  <si>
    <t>Bandar Pusaka</t>
  </si>
  <si>
    <t>Hadiah Sembako</t>
  </si>
  <si>
    <t>Bantuan Bersih-Bersih Masjid</t>
  </si>
  <si>
    <t>Bantuan Peringatan Isra' Mi'raj</t>
  </si>
  <si>
    <t>Bantuan Filter Air bersih</t>
  </si>
  <si>
    <t>Bantuan Al-Qur'an &amp; Iqra'</t>
  </si>
  <si>
    <t>Kelurahan / Desa</t>
  </si>
  <si>
    <t>Jumlah</t>
  </si>
  <si>
    <t>Database Januari</t>
  </si>
  <si>
    <t>Rekap Sebaran Januari</t>
  </si>
  <si>
    <t>Nama Titik Lokasi Serapan</t>
  </si>
  <si>
    <t>PM</t>
  </si>
  <si>
    <t>Data Titik Lokasi Serapan Januari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</si>
</sst>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6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0" borderId="5" xfId="0" applyBorder="1"/>
    <xf numFmtId="0" fontId="7" fillId="2" borderId="1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2" fillId="0" borderId="15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top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15" xfId="0" applyBorder="1" applyAlignment="1">
      <alignment horizontal="left" wrapText="1"/>
    </xf>
    <xf numFmtId="0" fontId="7" fillId="0" borderId="2" xfId="0" applyFont="1" applyBorder="1" applyAlignment="1">
      <alignment horizontal="center"/>
    </xf>
    <xf numFmtId="0" fontId="12" fillId="0" borderId="14" xfId="0" applyFont="1" applyBorder="1" applyAlignment="1">
      <alignment horizontal="left" wrapText="1"/>
    </xf>
    <xf numFmtId="0" fontId="0" fillId="0" borderId="5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15" xfId="0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5" fillId="0" borderId="1" xfId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0" xfId="0" applyFont="1" applyBorder="1"/>
    <xf numFmtId="0" fontId="1" fillId="0" borderId="5" xfId="0" applyFont="1" applyBorder="1"/>
    <xf numFmtId="0" fontId="0" fillId="0" borderId="5" xfId="0" applyBorder="1" applyAlignment="1">
      <alignment horizontal="left" vertical="center"/>
    </xf>
    <xf numFmtId="0" fontId="8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5" xfId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9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85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D4A9A-ABCF-4569-B97A-1B18EC6943D9}" name="Table1" displayName="Table1" ref="B4:O217" totalsRowShown="0" headerRowDxfId="264" dataDxfId="262" headerRowBorderDxfId="263" tableBorderDxfId="261" totalsRowBorderDxfId="260">
  <autoFilter ref="B4:O217" xr:uid="{8C3D4A9A-ABCF-4569-B97A-1B18EC6943D9}"/>
  <sortState xmlns:xlrd2="http://schemas.microsoft.com/office/spreadsheetml/2017/richdata2" ref="B5:O217">
    <sortCondition ref="C4:C217"/>
  </sortState>
  <tableColumns count="14">
    <tableColumn id="1" xr3:uid="{CA2A1646-F9DD-4E0D-B4B8-DBB631EE6BF2}" name="NO" dataDxfId="259">
      <calculatedColumnFormula>IF(Table1[[#This Row],[TANGGAL]]="","",ROW(N1))</calculatedColumnFormula>
    </tableColumn>
    <tableColumn id="2" xr3:uid="{DC0F99CE-0493-41DF-8597-B588A6129EBF}" name="TANGGAL" dataDxfId="258"/>
    <tableColumn id="3" xr3:uid="{3CF7B29E-8E9A-4752-A3B4-7147ED1A8680}" name="NAMA PROGRAM" dataDxfId="257"/>
    <tableColumn id="4" xr3:uid="{CC5786EB-4078-4086-9743-28C503E2EF0F}" name="KATEGORI PROGRAM" dataDxfId="256">
      <calculatedColumnFormula>INDEX(Table5[KATEGORI PROGRAM],MATCH(Table1[[#This Row],[NAMA PROGRAM]],Table5[NAMA PROGRAM],0))</calculatedColumnFormula>
    </tableColumn>
    <tableColumn id="7" xr3:uid="{199BF700-95D6-4EA1-9849-CD40DC65676C}" name="TITIK MAPS" dataDxfId="255"/>
    <tableColumn id="13" xr3:uid="{09F2370F-33EE-4597-9D37-7538296F213A}" name="Nama Lokasi Program" dataDxfId="254"/>
    <tableColumn id="5" xr3:uid="{4F85B288-174F-4BD7-A77A-61A2569286D2}" name="KELURAHAN / DESA" dataDxfId="253"/>
    <tableColumn id="11" xr3:uid="{B4DBA286-0907-47AD-8F56-9B9BED9F575C}" name="KECAMATAN" dataDxfId="252">
      <calculatedColumnFormula>INDEX(Table2[Kecamatan],MATCH(Table1[[#This Row],[KELURAHAN / DESA]],Table2[Kelurahan],0))</calculatedColumnFormula>
    </tableColumn>
    <tableColumn id="10" xr3:uid="{B565D24E-744C-4918-BFB6-2598F6025239}" name="KAB./KOTA" dataDxfId="251">
      <calculatedColumnFormula>INDEX(Table2[Kabupaten/Kota],MATCH(Table1[[#This Row],[KECAMATAN]],Table2[Kecamatan],0))</calculatedColumnFormula>
    </tableColumn>
    <tableColumn id="12" xr3:uid="{E8EF9F54-BEE4-4C6D-899A-E7E04F974D44}" name="PROVINSI" dataDxfId="250">
      <calculatedColumnFormula>INDEX(Table2[Provinsi],MATCH(Table1[[#This Row],[KAB./KOTA]],Table2[Kabupaten/Kota],0))</calculatedColumnFormula>
    </tableColumn>
    <tableColumn id="6" xr3:uid="{E1D4CCF8-1124-4789-A587-020E7377EA12}" name="JUMLAH PM" dataDxfId="249"/>
    <tableColumn id="9" xr3:uid="{E8356213-EC58-44FA-B674-54D99131C7C3}" name="BENTUK BANTUAN" dataDxfId="248"/>
    <tableColumn id="8" xr3:uid="{6CDB8469-5EE4-4463-94A5-B59B238839BB}" name="PJ TIM" dataDxfId="247"/>
    <tableColumn id="14" xr3:uid="{7FE6B209-79B4-48DF-88F7-FAAA18860FE0}" name="Sasaran PM" dataDxfId="2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31C5DF-1E9D-4DD3-9D48-D08C4B08A5B9}" name="Table14" displayName="Table14" ref="G4:J12" totalsRowShown="0" headerRowDxfId="245" headerRowBorderDxfId="244" tableBorderDxfId="243" totalsRowBorderDxfId="242">
  <autoFilter ref="G4:J12" xr:uid="{D631C5DF-1E9D-4DD3-9D48-D08C4B08A5B9}"/>
  <tableColumns count="4">
    <tableColumn id="1" xr3:uid="{4E9D14AA-ED5C-43A9-B103-427721A99EED}" name="PROGRAM PENDIDIKAN" dataDxfId="241"/>
    <tableColumn id="2" xr3:uid="{6FAFEF02-A8D2-4C0D-A7E0-A4A6E4E6ED52}" name="Pelaksanaan" dataDxfId="240"/>
    <tableColumn id="3" xr3:uid="{06D4FD6C-8121-41A5-B1AA-D3C869905420}" name="Jumlah PM" dataDxfId="239"/>
    <tableColumn id="4" xr3:uid="{A40AEC66-1FC0-41F9-99C1-5440873B1B4A}" name="Jumlah Titik Lokasi" dataDxfId="2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0E78A8-244A-4DC6-9E22-9D88ABA6C115}" name="Table25" displayName="Table25" ref="G14:J20" totalsRowShown="0" headerRowDxfId="237" headerRowBorderDxfId="236" tableBorderDxfId="235" totalsRowBorderDxfId="234">
  <autoFilter ref="G14:J20" xr:uid="{F40E78A8-244A-4DC6-9E22-9D88ABA6C115}"/>
  <tableColumns count="4">
    <tableColumn id="1" xr3:uid="{3FFD7ECF-9429-4C78-AA48-4FD1C4AAA01D}" name="PROGRAM PANGAN" dataDxfId="233"/>
    <tableColumn id="2" xr3:uid="{ACF6D071-960F-4293-9CBF-BA1C40E12225}" name="Pelaksanaan" dataDxfId="232"/>
    <tableColumn id="3" xr3:uid="{44489975-4147-4ED8-81C7-6FCC3DBDDBD9}" name="Jumlah PM" dataDxfId="231"/>
    <tableColumn id="4" xr3:uid="{CE2B0F2B-A09F-4A07-80DE-9B9B51134F6E}" name="Jumlah Titik Lokasi" dataDxfId="2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413B87-07BE-4D71-BC89-2BC425E66338}" name="Table3" displayName="Table3" ref="G22:J23" totalsRowShown="0" headerRowDxfId="229" headerRowBorderDxfId="228" tableBorderDxfId="227" totalsRowBorderDxfId="226">
  <autoFilter ref="G22:J23" xr:uid="{69413B87-07BE-4D71-BC89-2BC425E66338}"/>
  <tableColumns count="4">
    <tableColumn id="1" xr3:uid="{6A34EE66-335F-433F-96CC-9F07CCE4DFF5}" name="PROGRAM PEMBERDAYAAN " dataDxfId="225"/>
    <tableColumn id="2" xr3:uid="{AE33D9EE-3EE9-4BB3-8B29-E87D48ED8431}" name="Pelaksanaan" dataDxfId="224"/>
    <tableColumn id="3" xr3:uid="{58EE7429-296A-4FC3-8213-157B529DF573}" name="Jumlah PM" dataDxfId="223"/>
    <tableColumn id="4" xr3:uid="{82CABDD2-990A-46C6-98B1-F81984333C98}" name="Jumlah Titik Lokasi" dataDxfId="2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DD78F6-E77C-4667-9EE8-5BE7E9D99D4A}" name="Table4" displayName="Table4" ref="G25:J27" totalsRowShown="0" headerRowDxfId="221" headerRowBorderDxfId="220" tableBorderDxfId="219" totalsRowBorderDxfId="218">
  <autoFilter ref="G25:J27" xr:uid="{B2DD78F6-E77C-4667-9EE8-5BE7E9D99D4A}"/>
  <tableColumns count="4">
    <tableColumn id="1" xr3:uid="{405DCB4B-4A87-4FAF-BC8B-87409635E6D9}" name="PROGRAM EVENT SOSIAL"/>
    <tableColumn id="2" xr3:uid="{93085146-072F-4C90-9242-4C78ECBC847F}" name="Pelaksanaan"/>
    <tableColumn id="3" xr3:uid="{6D3F1592-8E4D-4982-8B03-229DBCFF148E}" name="Jumlah PM"/>
    <tableColumn id="4" xr3:uid="{CCA8C113-5E90-4516-8EEF-DFECCF263993}" name="Jumlah Titik Lokas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412272C-4485-4866-94BE-A72664BB283A}" name="Table12" displayName="Table12" ref="B4:E40" totalsRowShown="0" headerRowDxfId="217" dataDxfId="215" headerRowBorderDxfId="216" tableBorderDxfId="214">
  <autoFilter ref="B4:E40" xr:uid="{A412272C-4485-4866-94BE-A72664BB283A}"/>
  <tableColumns count="4">
    <tableColumn id="1" xr3:uid="{9D0AD769-1098-4DB2-B0FE-24E780B70119}" name="No" dataDxfId="213">
      <calculatedColumnFormula>IF(Table12[[#Headers],[Nama Program]]="","",ROW(F1))</calculatedColumnFormula>
    </tableColumn>
    <tableColumn id="2" xr3:uid="{FE5FD35B-660E-42AC-850C-6F00F349A1B2}" name="Nama Program" dataDxfId="212"/>
    <tableColumn id="3" xr3:uid="{D9A3D539-9853-4E00-BCA0-D645EBBF5C0C}" name="Jumlah Pelaksanaan" dataDxfId="211"/>
    <tableColumn id="4" xr3:uid="{C94FBEA9-A7A2-4E4D-8A3B-56364AD1C0A4}" name="Jumlah PM" dataDxfId="210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7F5F9A4-3851-48CF-A334-DABBFE5D58F8}" name="Table51011" displayName="Table51011" ref="G29:J31" totalsRowShown="0" headerRowDxfId="209" headerRowBorderDxfId="208" tableBorderDxfId="207" totalsRowBorderDxfId="206">
  <autoFilter ref="G29:J31" xr:uid="{A7F5F9A4-3851-48CF-A334-DABBFE5D58F8}"/>
  <tableColumns count="4">
    <tableColumn id="1" xr3:uid="{4B3A151F-F2B2-4863-93C0-35CC0CD78F1D}" name="PROGRAM RESPON BENCANA (BANTUAN AIR BERSIH)" dataDxfId="205"/>
    <tableColumn id="2" xr3:uid="{80DFB52A-86D6-4EC7-8DDC-ECE1249CB4A3}" name="Pelaksanaan" dataDxfId="204"/>
    <tableColumn id="3" xr3:uid="{DF47EBD1-71AB-4584-BE00-D81143666216}" name="Jumlah PM" dataDxfId="203"/>
    <tableColumn id="4" xr3:uid="{0CEB0906-16BB-489F-8421-06B922286DD0}" name="Jumlah Titik Lokasi" dataDxfId="20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7AD4BEB-4EAF-40ED-BEFD-2B27BF816CFE}" name="Table5101115" displayName="Table5101115" ref="G33:J36" totalsRowShown="0" headerRowDxfId="201" headerRowBorderDxfId="200" tableBorderDxfId="199" totalsRowBorderDxfId="198">
  <autoFilter ref="G33:J36" xr:uid="{17AD4BEB-4EAF-40ED-BEFD-2B27BF816CFE}"/>
  <tableColumns count="4">
    <tableColumn id="1" xr3:uid="{9A54CCD5-7B76-4EC3-ACAD-AF301FF69306}" name="PROGRAM RESPON BENCANA (BANTUAN KESEHATAN)" dataDxfId="197"/>
    <tableColumn id="2" xr3:uid="{85F50ABF-CB3D-437B-95B5-DF48E592EB94}" name="Pelaksanaan" dataDxfId="196"/>
    <tableColumn id="3" xr3:uid="{2EBED7B7-F9F5-451D-88AC-D27C86A45B76}" name="Jumlah PM" dataDxfId="195"/>
    <tableColumn id="4" xr3:uid="{12FE695C-E9F5-4DBE-B158-ADC2364C964F}" name="Jumlah Titik Lokasi" dataDxfId="19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FEBC258-F7D7-41FD-8ED1-5750B40203AA}" name="Table510111516" displayName="Table510111516" ref="G38:J41" totalsRowShown="0" headerRowDxfId="193" headerRowBorderDxfId="192" tableBorderDxfId="191" totalsRowBorderDxfId="190">
  <autoFilter ref="G38:J41" xr:uid="{6FEBC258-F7D7-41FD-8ED1-5750B40203AA}"/>
  <tableColumns count="4">
    <tableColumn id="1" xr3:uid="{C3CE1F9D-C625-4E4C-A51B-9F7A7171DB08}" name="PROGRAM RESPON BENCANA (BANTUAN PANGAN)" dataDxfId="189"/>
    <tableColumn id="2" xr3:uid="{6E4E8289-3379-4298-B745-E2BC3961535B}" name="Pelaksanaan" dataDxfId="188"/>
    <tableColumn id="3" xr3:uid="{DA8A4E4C-AABB-4DAD-888A-0EC382A0FD06}" name="Jumlah PM" dataDxfId="187"/>
    <tableColumn id="4" xr3:uid="{0BC6D0FB-DCEA-46AF-8D00-FB32F666C80B}" name="Jumlah Titik Lokasi" dataDxfId="18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2F6C532-AF03-4B1C-95C5-655A7DCF7428}" name="Table51011151617" displayName="Table51011151617" ref="G43:J48" totalsRowShown="0" headerRowDxfId="185" headerRowBorderDxfId="184" tableBorderDxfId="183" totalsRowBorderDxfId="182">
  <autoFilter ref="G43:J48" xr:uid="{E2F6C532-AF03-4B1C-95C5-655A7DCF7428}"/>
  <tableColumns count="4">
    <tableColumn id="1" xr3:uid="{8BEB9E34-849A-4137-8458-B7AB839F5D8B}" name="PROGRAM RESPON BENCANA (PSIKOSOSIAL)" dataDxfId="181"/>
    <tableColumn id="2" xr3:uid="{8CE51D0C-5870-446F-86FA-3A7DF12F33C8}" name="Pelaksanaan" dataDxfId="180"/>
    <tableColumn id="3" xr3:uid="{47F1B611-12B3-4439-9D47-188B40C55136}" name="Jumlah PM" dataDxfId="179"/>
    <tableColumn id="4" xr3:uid="{7536AC27-B36A-42F2-9DFB-E90D67B37D32}" name="Jumlah Titik Lokasi" dataDxfId="17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7876D07-8A33-452A-8176-89B4897ACE77}" name="Table5101115161718" displayName="Table5101115161718" ref="G50:J64" totalsRowShown="0" headerRowDxfId="177" headerRowBorderDxfId="176" tableBorderDxfId="175" totalsRowBorderDxfId="174">
  <autoFilter ref="G50:J64" xr:uid="{C7876D07-8A33-452A-8176-89B4897ACE77}"/>
  <tableColumns count="4">
    <tableColumn id="1" xr3:uid="{21C3D0BF-E4A2-4D2F-BFAB-DD64DDDF3176}" name="PROGRAM RESPON BENCANA (RECOVERY)" dataDxfId="173"/>
    <tableColumn id="2" xr3:uid="{999D826F-A5A5-44B7-82CA-F42BF02EBC9D}" name="Pelaksanaan" dataDxfId="172"/>
    <tableColumn id="3" xr3:uid="{73F74BC6-C23F-44D1-890B-6EC6B6808F13}" name="Jumlah PM" dataDxfId="171"/>
    <tableColumn id="4" xr3:uid="{E0B2ACE3-32C2-4CAB-82F6-BEA6A08DE8DA}" name="Jumlah Titik Lokasi" dataDxfId="17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B67F28-7C15-4AAA-A69F-A1B48C2457A5}" name="Table122410" displayName="Table122410" ref="B4:E29" totalsRowShown="0" headerRowDxfId="169" dataDxfId="167" headerRowBorderDxfId="168" tableBorderDxfId="166">
  <autoFilter ref="B4:E29" xr:uid="{B4B67F28-7C15-4AAA-A69F-A1B48C2457A5}"/>
  <tableColumns count="4">
    <tableColumn id="1" xr3:uid="{23EA51A4-D3A9-452D-963C-D22D19CB93D5}" name="No" dataDxfId="165">
      <calculatedColumnFormula>IF(Table122410[[#Headers],[Nama Program]]="","",ROW(F1))</calculatedColumnFormula>
    </tableColumn>
    <tableColumn id="2" xr3:uid="{90B25F25-F959-4E12-B5FB-CC5662694B8B}" name="Nama Program" dataDxfId="164"/>
    <tableColumn id="3" xr3:uid="{B9210FE2-EE3C-4D57-A04D-0471762B2B26}" name="Jumlah Pelaksanaan" dataDxfId="163"/>
    <tableColumn id="4" xr3:uid="{2C526BFE-2F71-49D6-A401-2796E0849C72}" name="Jumlah PM" dataDxfId="162"/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D2EF670-BC8F-48DE-AFBF-5E7CE88519CD}" name="Table510112537" displayName="Table510112537" ref="C38:E41" totalsRowShown="0" headerRowDxfId="161" headerRowBorderDxfId="160" tableBorderDxfId="159" totalsRowBorderDxfId="158">
  <autoFilter ref="C38:E41" xr:uid="{7D2EF670-BC8F-48DE-AFBF-5E7CE88519CD}"/>
  <tableColumns count="3">
    <tableColumn id="1" xr3:uid="{6C77F71B-E8EB-4030-B694-86EDB85C4CA1}" name="PROGRAM RESPON BENCANA (BANTUAN AIR BERSIH)" dataDxfId="157"/>
    <tableColumn id="2" xr3:uid="{8873BC23-9B47-4861-96E7-F535DA2BB070}" name="Pelaksanaan" dataDxfId="156"/>
    <tableColumn id="3" xr3:uid="{D94268FF-505C-4501-A45A-1E0573EDE282}" name="Jumlah PM" dataDxfId="15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20413A6-1C26-4569-BB17-9F71C5283A9A}" name="Table51011152642" displayName="Table51011152642" ref="C43:E46" totalsRowShown="0" headerRowDxfId="154" headerRowBorderDxfId="153" tableBorderDxfId="152" totalsRowBorderDxfId="151">
  <autoFilter ref="C43:E46" xr:uid="{420413A6-1C26-4569-BB17-9F71C5283A9A}"/>
  <tableColumns count="3">
    <tableColumn id="1" xr3:uid="{F24536D7-8B52-4ED7-8CB8-5FD13519C337}" name="PROGRAM RESPON BENCANA (BANTUAN KESEHATAN)" dataDxfId="150"/>
    <tableColumn id="2" xr3:uid="{73AB6741-AEA8-431D-8581-0315C3570009}" name="Pelaksanaan" dataDxfId="149"/>
    <tableColumn id="3" xr3:uid="{7C871FDE-AE8B-4BCC-812C-8705A3D93217}" name="Jumlah PM" dataDxfId="14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7EF6CA2-A7E0-43DF-9081-05B1310F2435}" name="Table5101115162743" displayName="Table5101115162743" ref="C48:E51" totalsRowShown="0" headerRowDxfId="147" headerRowBorderDxfId="146" tableBorderDxfId="145" totalsRowBorderDxfId="144">
  <autoFilter ref="C48:E51" xr:uid="{77EF6CA2-A7E0-43DF-9081-05B1310F2435}"/>
  <tableColumns count="3">
    <tableColumn id="1" xr3:uid="{99E25F4F-88AD-4975-9AE2-827AB242E548}" name="PROGRAM RESPON BENCANA (BANTUAN PANGAN)" dataDxfId="143"/>
    <tableColumn id="2" xr3:uid="{FB4B2E70-0453-409E-86D0-3FF4995D1DE7}" name="Pelaksanaan" dataDxfId="142"/>
    <tableColumn id="3" xr3:uid="{4036CF95-0C2D-4CB3-8317-C8560C0C418E}" name="Jumlah PM" dataDxfId="14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6AADBE4-9766-4F90-9F56-88E3EF9F62FD}" name="Table510111516172844" displayName="Table510111516172844" ref="C53:E59" totalsRowShown="0" headerRowDxfId="140" headerRowBorderDxfId="139" tableBorderDxfId="138" totalsRowBorderDxfId="137">
  <autoFilter ref="C53:E59" xr:uid="{66AADBE4-9766-4F90-9F56-88E3EF9F62FD}"/>
  <tableColumns count="3">
    <tableColumn id="1" xr3:uid="{36C5F23D-C4CE-43B5-B60D-96917281A75B}" name="PROGRAM RESPON BENCANA (PSIKOSOSIAL)" dataDxfId="136"/>
    <tableColumn id="2" xr3:uid="{2CD61646-9A5B-44AE-BA5E-CF3AAEA3E787}" name="Pelaksanaan" dataDxfId="135"/>
    <tableColumn id="3" xr3:uid="{FB199035-23E2-45AB-A7BB-0AAF8360298E}" name="Jumlah PM" dataDxfId="13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A81FB95-EF00-4E87-A03B-118BF5E2C673}" name="Table51011151617182945" displayName="Table51011151617182945" ref="C61:E76" totalsRowShown="0" headerRowDxfId="133" headerRowBorderDxfId="132" tableBorderDxfId="131" totalsRowBorderDxfId="130">
  <autoFilter ref="C61:E76" xr:uid="{AA81FB95-EF00-4E87-A03B-118BF5E2C673}"/>
  <tableColumns count="3">
    <tableColumn id="1" xr3:uid="{64DAB2EA-C075-4626-B6C5-51CCFBE70D09}" name="PROGRAM RESPON BENCANA (RECOVERY)" dataDxfId="129"/>
    <tableColumn id="2" xr3:uid="{50E165A8-9B59-446D-85CB-DEFE77403BEF}" name="Pelaksanaan" dataDxfId="128"/>
    <tableColumn id="3" xr3:uid="{3EFAD810-5DF6-4274-8E5F-BDE10592A5A8}" name="Jumlah PM" dataDxfId="12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17458F4-AF03-4B60-A3DA-2969AC86AA60}" name="Table12243046" displayName="Table12243046" ref="G4:J8" totalsRowShown="0" headerRowDxfId="126" dataDxfId="124" headerRowBorderDxfId="125" tableBorderDxfId="123">
  <autoFilter ref="G4:J8" xr:uid="{917458F4-AF03-4B60-A3DA-2969AC86AA60}"/>
  <tableColumns count="4">
    <tableColumn id="1" xr3:uid="{CF5A9B8C-144C-4BE8-96F9-2C7163D5F3FA}" name="No" dataDxfId="122">
      <calculatedColumnFormula>IF(Table12243046[[#Headers],[Nama Program]]="","",ROW(K1))</calculatedColumnFormula>
    </tableColumn>
    <tableColumn id="2" xr3:uid="{5B33888C-93BC-4893-8FDA-E8E3157A6956}" name="Nama Program" dataDxfId="121"/>
    <tableColumn id="3" xr3:uid="{9177AB62-C90B-40F9-8B4E-EC101832B0AC}" name="Jumlah Pelaksanaan" dataDxfId="120"/>
    <tableColumn id="4" xr3:uid="{2FE5BC67-D59F-4677-B483-B8A1783AF737}" name="Jumlah PM" dataDxfId="119"/>
  </tableColumns>
  <tableStyleInfo name="TableStyleLight2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43C0490C-2BBF-46CF-AB4C-4E04F38CC257}" name="Table5101115263247" displayName="Table5101115263247" ref="H16:J18" totalsRowShown="0" headerRowDxfId="118" headerRowBorderDxfId="117" tableBorderDxfId="116" totalsRowBorderDxfId="115">
  <autoFilter ref="H16:J18" xr:uid="{43C0490C-2BBF-46CF-AB4C-4E04F38CC257}"/>
  <tableColumns count="3">
    <tableColumn id="1" xr3:uid="{8DB92B17-936B-469B-AE93-2C136C8EE4D8}" name="PROGRAM RESPON BENCANA (BANTUAN KESEHATAN)" dataDxfId="114"/>
    <tableColumn id="2" xr3:uid="{138448DB-E490-4845-89ED-D14CBE3FDEC3}" name="Pelaksanaan" dataDxfId="113"/>
    <tableColumn id="3" xr3:uid="{64B845F9-DF6F-4515-A0AF-7EE48D24CB8A}" name="Jumlah PM" dataDxfId="11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14D72B20-5391-41A6-BE78-978C6C375751}" name="Table510111516273348" displayName="Table510111516273348" ref="H20:J22" totalsRowShown="0" headerRowDxfId="111" headerRowBorderDxfId="110" tableBorderDxfId="109" totalsRowBorderDxfId="108">
  <autoFilter ref="H20:J22" xr:uid="{14D72B20-5391-41A6-BE78-978C6C375751}"/>
  <tableColumns count="3">
    <tableColumn id="1" xr3:uid="{9B78478A-89BB-43C1-BC37-AEFFA38699BB}" name="PROGRAM RESPON BENCANA (BANTUAN PANGAN)" dataDxfId="107"/>
    <tableColumn id="2" xr3:uid="{102CBA3F-D1FB-4687-AF44-6E4D4D6E4BF7}" name="Pelaksanaan" dataDxfId="106"/>
    <tableColumn id="3" xr3:uid="{4837F58A-79E3-46EA-B729-1DC49140930A}" name="Jumlah PM" dataDxfId="10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23ACBE2-5BB5-419F-961F-1A12E1E33B64}" name="Table51011151617283449" displayName="Table51011151617283449" ref="H24:J26" totalsRowShown="0" headerRowDxfId="104" headerRowBorderDxfId="103" tableBorderDxfId="102" totalsRowBorderDxfId="101">
  <autoFilter ref="H24:J26" xr:uid="{A23ACBE2-5BB5-419F-961F-1A12E1E33B64}"/>
  <tableColumns count="3">
    <tableColumn id="1" xr3:uid="{986B1ED3-17D8-4AF7-8615-7AE9F1A8F3A2}" name="PROGRAM RESPON BENCANA (PSIKOSOSIAL)" dataDxfId="100"/>
    <tableColumn id="2" xr3:uid="{3FE758F7-6B37-458B-96B2-76CB77305FD4}" name="Pelaksanaan" dataDxfId="99"/>
    <tableColumn id="3" xr3:uid="{CA4C5BEE-EACF-477D-9E09-92A3FD9D5B46}" name="Jumlah PM" dataDxfId="9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0500834-58D7-4D31-8F2C-902CCB7D284A}" name="Table5101115161718293550" displayName="Table5101115161718293550" ref="H28:J30" totalsRowShown="0" headerRowDxfId="97" headerRowBorderDxfId="96" tableBorderDxfId="95" totalsRowBorderDxfId="94">
  <autoFilter ref="H28:J30" xr:uid="{A0500834-58D7-4D31-8F2C-902CCB7D284A}"/>
  <tableColumns count="3">
    <tableColumn id="1" xr3:uid="{EFADBE9F-EC1F-41FE-A3C9-C2198B8313CC}" name="PROGRAM RESPON BENCANA (RECOVERY)" dataDxfId="93"/>
    <tableColumn id="2" xr3:uid="{53026299-CA04-46AD-81B4-B2CAC0A80C7E}" name="Pelaksanaan" dataDxfId="92"/>
    <tableColumn id="3" xr3:uid="{7D53137B-11D9-4E9D-9226-A6688182FC24}" name="Jumlah PM" dataDxfId="9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B6D270FE-7A97-4FB4-8846-FB3E94DA9413}" name="Table12241951" displayName="Table12241951" ref="L4:O11" totalsRowShown="0" headerRowDxfId="90" dataDxfId="88" headerRowBorderDxfId="89" tableBorderDxfId="87">
  <autoFilter ref="L4:O11" xr:uid="{B6D270FE-7A97-4FB4-8846-FB3E94DA9413}"/>
  <tableColumns count="4">
    <tableColumn id="1" xr3:uid="{09CE36C1-FDEB-46A8-82CB-98F632912486}" name="No" dataDxfId="86">
      <calculatedColumnFormula>IF(Table12241951[[#Headers],[Nama Program]]="","",ROW(P1))</calculatedColumnFormula>
    </tableColumn>
    <tableColumn id="2" xr3:uid="{5BAD066F-BAF0-493C-8AA7-CA4365AA1957}" name="Nama Program" dataDxfId="85"/>
    <tableColumn id="3" xr3:uid="{43876BD1-4973-4E6B-A468-03577F47B82D}" name="Jumlah Pelaksanaan" dataDxfId="84"/>
    <tableColumn id="4" xr3:uid="{54EBEF9E-5755-444C-9D22-3C56BA3ACF01}" name="Jumlah PM" dataDxfId="83"/>
  </tableColumns>
  <tableStyleInfo name="TableStyleLight2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4893F50-BA85-4BBE-A5BA-2D6CC0109B2D}" name="Table51011252052" displayName="Table51011252052" ref="M19:O21" totalsRowShown="0" headerRowDxfId="82" headerRowBorderDxfId="81" tableBorderDxfId="80" totalsRowBorderDxfId="79">
  <autoFilter ref="M19:O21" xr:uid="{64893F50-BA85-4BBE-A5BA-2D6CC0109B2D}"/>
  <tableColumns count="3">
    <tableColumn id="1" xr3:uid="{116935AC-FFAD-4513-A3C8-3925D9569C70}" name="PROGRAM RESPON BENCANA (BANTUAN AIR BERSIH)" dataDxfId="78"/>
    <tableColumn id="2" xr3:uid="{76EEA608-B46E-418C-A242-669BA9DF12D1}" name="Pelaksanaan" dataDxfId="77"/>
    <tableColumn id="3" xr3:uid="{714AE54D-75DD-4C1C-9F27-E77B1831C3BF}" name="Jumlah PM" dataDxfId="7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AD7F82F-B4C2-4E6F-BCCA-A0175FD70C6D}" name="Table5101115262153" displayName="Table5101115262153" ref="M23:O26" totalsRowShown="0" headerRowDxfId="75" headerRowBorderDxfId="74" tableBorderDxfId="73" totalsRowBorderDxfId="72">
  <autoFilter ref="M23:O26" xr:uid="{7AD7F82F-B4C2-4E6F-BCCA-A0175FD70C6D}"/>
  <tableColumns count="3">
    <tableColumn id="1" xr3:uid="{03664889-3DBD-4D0B-B11E-47A69197DF4C}" name="PROGRAM RESPON BENCANA (BANTUAN KESEHATAN)" dataDxfId="71"/>
    <tableColumn id="2" xr3:uid="{184F96DF-97CC-4530-8EC5-DDF1A30BC203}" name="Pelaksanaan" dataDxfId="70"/>
    <tableColumn id="3" xr3:uid="{1918E03C-734B-4895-815E-5911276E7C49}" name="Jumlah PM" dataDxfId="69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B43D75E-C24C-43A3-82BE-BFC5FA332C63}" name="Table510111516272254" displayName="Table510111516272254" ref="M28:O31" totalsRowShown="0" headerRowDxfId="68" headerRowBorderDxfId="67" tableBorderDxfId="66" totalsRowBorderDxfId="65">
  <autoFilter ref="M28:O31" xr:uid="{CB43D75E-C24C-43A3-82BE-BFC5FA332C63}"/>
  <tableColumns count="3">
    <tableColumn id="1" xr3:uid="{33D95549-8C3A-4CB2-8420-926A0DD1B899}" name="PROGRAM RESPON BENCANA (BANTUAN PANGAN)" dataDxfId="64"/>
    <tableColumn id="2" xr3:uid="{08A47A64-3089-4D90-BF62-C50AE7AA3AFF}" name="Pelaksanaan" dataDxfId="63"/>
    <tableColumn id="3" xr3:uid="{C7731993-1F7F-4760-8015-624DCEA437E4}" name="Jumlah PM" dataDxfId="6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92336FF-AE41-4D82-8B29-5094A023B257}" name="Table51011151617282355" displayName="Table51011151617282355" ref="M33:O35" totalsRowShown="0" headerRowDxfId="61" headerRowBorderDxfId="60" tableBorderDxfId="59" totalsRowBorderDxfId="58">
  <autoFilter ref="M33:O35" xr:uid="{192336FF-AE41-4D82-8B29-5094A023B257}"/>
  <tableColumns count="3">
    <tableColumn id="1" xr3:uid="{E910FD1C-3D4E-4E8B-A0FA-0FBF4DD527D5}" name="PROGRAM RESPON BENCANA (PSIKOSOSIAL)" dataDxfId="57"/>
    <tableColumn id="2" xr3:uid="{78F575C4-9C80-4239-A77D-8C51729F50BE}" name="Pelaksanaan" dataDxfId="56"/>
    <tableColumn id="3" xr3:uid="{64E2E240-6277-4649-A545-8E8732D74E89}" name="Jumlah PM" dataDxfId="5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F8249C7F-B128-4679-A3BE-56E38E5071BF}" name="Table5101115161718293156" displayName="Table5101115161718293156" ref="M37:O39" totalsRowShown="0" headerRowDxfId="54" headerRowBorderDxfId="53" tableBorderDxfId="52" totalsRowBorderDxfId="51">
  <autoFilter ref="M37:O39" xr:uid="{F8249C7F-B128-4679-A3BE-56E38E5071BF}"/>
  <tableColumns count="3">
    <tableColumn id="1" xr3:uid="{C148730C-A247-483D-B498-74227B62D87F}" name="PROGRAM RESPON BENCANA (RECOVERY)" dataDxfId="50"/>
    <tableColumn id="2" xr3:uid="{EB209517-DC16-47FC-B420-0BD5BFFC5D00}" name="Pelaksanaan" dataDxfId="49"/>
    <tableColumn id="3" xr3:uid="{10DFE02E-2039-4B12-91EB-5A10905E1F34}" name="Jumlah PM" dataDxfId="48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0A466D5-ED5A-4807-932A-DE775DB2016D}" name="Table12243657" displayName="Table12243657" ref="Q4:T9" totalsRowShown="0" headerRowDxfId="47" dataDxfId="45" headerRowBorderDxfId="46" tableBorderDxfId="44">
  <autoFilter ref="Q4:T9" xr:uid="{40A466D5-ED5A-4807-932A-DE775DB2016D}"/>
  <tableColumns count="4">
    <tableColumn id="1" xr3:uid="{409C6A58-4B55-485F-8BD2-48AF5D6B02B9}" name="No" dataDxfId="43">
      <calculatedColumnFormula>IF(Table12243657[[#Headers],[Nama Program]]="","",ROW(U1))</calculatedColumnFormula>
    </tableColumn>
    <tableColumn id="2" xr3:uid="{A6EA8B30-E666-46CF-818D-3E1128C0F0E5}" name="Nama Program" dataDxfId="42"/>
    <tableColumn id="3" xr3:uid="{552607BA-00DC-4238-A695-ED5491234CAD}" name="Jumlah Pelaksanaan" dataDxfId="41"/>
    <tableColumn id="4" xr3:uid="{D61B15B8-3DC8-40BE-8C76-9BB8D5FA69DF}" name="Jumlah PM" dataDxfId="40"/>
  </tableColumns>
  <tableStyleInfo name="TableStyleLight2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1BC35E70-78B3-471D-9CFF-3F162C59ED85}" name="Table5101115263858" displayName="Table5101115263858" ref="R17:T19" totalsRowShown="0" headerRowDxfId="39" headerRowBorderDxfId="38" tableBorderDxfId="37" totalsRowBorderDxfId="36">
  <autoFilter ref="R17:T19" xr:uid="{1BC35E70-78B3-471D-9CFF-3F162C59ED85}"/>
  <tableColumns count="3">
    <tableColumn id="1" xr3:uid="{3D60037C-68A9-4AA3-BA57-4683E51035D6}" name="PROGRAM RESPON BENCANA (BANTUAN KESEHATAN)" dataDxfId="35"/>
    <tableColumn id="2" xr3:uid="{1B2EFB88-275A-4549-995B-717601AD102F}" name="Pelaksanaan" dataDxfId="34"/>
    <tableColumn id="3" xr3:uid="{D2930AE8-8325-4953-8082-EC0D6F1B21BE}" name="Jumlah PM" dataDxfId="33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26432C3E-5D3E-4668-95B7-C4FE1A175E8D}" name="Table510111516273959" displayName="Table510111516273959" ref="R21:T23" totalsRowShown="0" headerRowDxfId="32" headerRowBorderDxfId="31" tableBorderDxfId="30" totalsRowBorderDxfId="29">
  <autoFilter ref="R21:T23" xr:uid="{26432C3E-5D3E-4668-95B7-C4FE1A175E8D}"/>
  <tableColumns count="3">
    <tableColumn id="1" xr3:uid="{ED495B3B-84A2-41C0-BA0A-65083B616497}" name="PROGRAM RESPON BENCANA (BANTUAN PANGAN)" dataDxfId="28"/>
    <tableColumn id="2" xr3:uid="{100920FB-CA91-45B1-B8CD-CEBE43D93933}" name="Pelaksanaan" dataDxfId="27"/>
    <tableColumn id="3" xr3:uid="{26A80C10-281E-4312-AA7D-9BD1EA8ED86D}" name="Jumlah PM" dataDxfId="2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54BA9230-8ACE-429A-89EC-E6E5D6706D3F}" name="Table51011151617284060" displayName="Table51011151617284060" ref="R25:T27" totalsRowShown="0" headerRowDxfId="25" headerRowBorderDxfId="24" tableBorderDxfId="23" totalsRowBorderDxfId="22">
  <autoFilter ref="R25:T27" xr:uid="{54BA9230-8ACE-429A-89EC-E6E5D6706D3F}"/>
  <tableColumns count="3">
    <tableColumn id="1" xr3:uid="{CD0A8D32-EF1B-42AB-AAD1-45465872844C}" name="PROGRAM RESPON BENCANA (PSIKOSOSIAL)" dataDxfId="21"/>
    <tableColumn id="2" xr3:uid="{22C90EA5-3BFC-4E6B-B43F-52D8D6FA1594}" name="Pelaksanaan" dataDxfId="20"/>
    <tableColumn id="3" xr3:uid="{D1DACEB0-0625-4846-B999-DD29CA86CE56}" name="Jumlah PM" dataDxfId="1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382FFEC1-440A-4C3A-AE21-0F901A20CF64}" name="Table5101115161718294161" displayName="Table5101115161718294161" ref="R29:T32" totalsRowShown="0" headerRowDxfId="18" headerRowBorderDxfId="17" tableBorderDxfId="16" totalsRowBorderDxfId="15">
  <autoFilter ref="R29:T32" xr:uid="{382FFEC1-440A-4C3A-AE21-0F901A20CF64}"/>
  <tableColumns count="3">
    <tableColumn id="1" xr3:uid="{12FF7F9E-3C72-4A0F-AF0F-BC42AA875BB4}" name="PROGRAM RESPON BENCANA (RECOVERY)" dataDxfId="14"/>
    <tableColumn id="2" xr3:uid="{CC0B396F-815B-4EAE-A369-18E18BD681CC}" name="Pelaksanaan" dataDxfId="13"/>
    <tableColumn id="3" xr3:uid="{450DE601-5DDA-41B3-9A9D-D4F58474F7A6}" name="Jumlah PM" dataDxfId="1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D2C6B7-A06A-449D-A0E8-9BF1749F58CD}" name="Table11" displayName="Table11" ref="B4:H53" headerRowDxfId="284" dataDxfId="282" totalsRowDxfId="280" headerRowBorderDxfId="283" tableBorderDxfId="281" totalsRowBorderDxfId="279">
  <autoFilter ref="B4:H53" xr:uid="{5ED2C6B7-A06A-449D-A0E8-9BF1749F58CD}"/>
  <sortState xmlns:xlrd2="http://schemas.microsoft.com/office/spreadsheetml/2017/richdata2" ref="B5:H53">
    <sortCondition descending="1" ref="H4:H53"/>
  </sortState>
  <tableColumns count="7">
    <tableColumn id="1" xr3:uid="{999FD102-ED44-428A-94B5-A989D91173A5}" name="No" dataDxfId="278" totalsRowDxfId="277">
      <calculatedColumnFormula>IF(Table11[[#This Row],[Kelurahan]]="","",ROW(I1))</calculatedColumnFormula>
    </tableColumn>
    <tableColumn id="2" xr3:uid="{EA3FD4C8-B883-4E0E-B87C-1044416E56D0}" name="Kelurahan" dataDxfId="276" totalsRowDxfId="275"/>
    <tableColumn id="3" xr3:uid="{A297E9E8-1376-4A6F-AB2F-8C696E87EB4A}" name="Kecamatan" dataDxfId="274" totalsRowDxfId="273">
      <calculatedColumnFormula>INDEX(Table2[Kecamatan],MATCH(Table11[[#This Row],[Kelurahan]],Table2[Kelurahan],0))</calculatedColumnFormula>
    </tableColumn>
    <tableColumn id="4" xr3:uid="{F145B2F8-6332-4769-B127-DF20777BAF65}" name="Kab/Kota" dataDxfId="272" totalsRowDxfId="271">
      <calculatedColumnFormula>INDEX(Table2[Kabupaten/Kota],MATCH(Table11[[#This Row],[Kecamatan]],Table2[Kecamatan],0))</calculatedColumnFormula>
    </tableColumn>
    <tableColumn id="5" xr3:uid="{26017E59-E27C-4496-9FE4-943F769C6A9A}" name="Provinsi" dataDxfId="270" totalsRowDxfId="269">
      <calculatedColumnFormula>INDEX(Table2[Provinsi],MATCH(Table11[[#This Row],[Kab/Kota]],Table2[Kabupaten/Kota],0))</calculatedColumnFormula>
    </tableColumn>
    <tableColumn id="6" xr3:uid="{0BE63882-DB14-4B3A-A520-0F7E7FC3F65B}" name="Negara" dataDxfId="268" totalsRowDxfId="267"/>
    <tableColumn id="7" xr3:uid="{D3A58054-8415-4385-A495-659BC58FA6D3}" name="Kuantitas program" dataDxfId="266" totalsRowDxfId="265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0FA005-A270-4BB8-AC9C-14FF2BED9744}" name="Table5" displayName="Table5" ref="B3:D71" totalsRowShown="0" dataDxfId="11">
  <autoFilter ref="B3:D71" xr:uid="{CD0FA005-A270-4BB8-AC9C-14FF2BED9744}"/>
  <sortState xmlns:xlrd2="http://schemas.microsoft.com/office/spreadsheetml/2017/richdata2" ref="B4:D71">
    <sortCondition ref="D3:D71"/>
  </sortState>
  <tableColumns count="3">
    <tableColumn id="1" xr3:uid="{4DA2B467-38CF-4E72-8830-749D2BD8CA28}" name="NO" dataDxfId="10">
      <calculatedColumnFormula>IF(Table5[[#This Row],[NAMA PROGRAM]]="","",ROW(H1))</calculatedColumnFormula>
    </tableColumn>
    <tableColumn id="2" xr3:uid="{F0D6EBCE-D686-4595-ADEC-A9C3B1130D6E}" name="NAMA PROGRAM" dataDxfId="9"/>
    <tableColumn id="3" xr3:uid="{D6B1E617-9BDF-492A-AECD-97768F5633F4}" name="KATEGORI PROGRAM" dataDxfId="8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D71B5C-1700-473B-A572-95BA6752F2F1}" name="Table6" displayName="Table6" ref="F3:F16" totalsRowShown="0" headerRowDxfId="7" dataDxfId="5" headerRowBorderDxfId="6" tableBorderDxfId="4" totalsRowBorderDxfId="3">
  <autoFilter ref="F3:F16" xr:uid="{45D71B5C-1700-473B-A572-95BA6752F2F1}"/>
  <sortState xmlns:xlrd2="http://schemas.microsoft.com/office/spreadsheetml/2017/richdata2" ref="F4:F16">
    <sortCondition ref="F3:F16"/>
  </sortState>
  <tableColumns count="1">
    <tableColumn id="1" xr3:uid="{895C69E7-ED4C-4BBC-A5BF-BFF2582BE268}" name="KATEGORI PROGRAM" dataDxfId="2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B0819-4E6E-4B5B-8E60-8A0381D2A5D5}" name="Table2" displayName="Table2" ref="H3:L169" totalsRowShown="0">
  <autoFilter ref="H3:L169" xr:uid="{D4EB0819-4E6E-4B5B-8E60-8A0381D2A5D5}"/>
  <sortState xmlns:xlrd2="http://schemas.microsoft.com/office/spreadsheetml/2017/richdata2" ref="H4:L142">
    <sortCondition ref="K3:K142"/>
  </sortState>
  <tableColumns count="5">
    <tableColumn id="1" xr3:uid="{8D158E17-5853-4B30-BEDA-5D189051017A}" name="No" dataDxfId="1">
      <calculatedColumnFormula>IF(Table2[[#This Row],[Kelurahan]]="","",ROW(M1))</calculatedColumnFormula>
    </tableColumn>
    <tableColumn id="2" xr3:uid="{2E879D74-9562-4A5F-AF4E-5D92C64A7F69}" name="Kelurahan"/>
    <tableColumn id="3" xr3:uid="{BBC07764-0996-48C6-9277-DC03AEE92D59}" name="Kecamatan"/>
    <tableColumn id="5" xr3:uid="{ECF6C8EB-8088-4F98-A6A9-3314D952890C}" name="Kabupaten/Kota"/>
    <tableColumn id="4" xr3:uid="{BDC590F7-7DC9-41B5-B861-07DB5AA7E868}" name="Provinsi"/>
  </tableColumns>
  <tableStyleInfo name="TableStyleLight2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74513D8-9D04-4158-9A07-BFF37D67E871}" name="Table13" displayName="Table13" ref="N3:O16" totalsRowShown="0">
  <autoFilter ref="N3:O16" xr:uid="{774513D8-9D04-4158-9A07-BFF37D67E871}"/>
  <tableColumns count="2">
    <tableColumn id="1" xr3:uid="{CF4D30BB-003C-4F6F-82B7-0CED3E39060F}" name="No" dataDxfId="0">
      <calculatedColumnFormula>IF(Table13[[#This Row],[Sasaran PM]]="","",ROW(Q1))</calculatedColumnFormula>
    </tableColumn>
    <tableColumn id="2" xr3:uid="{2C257920-1917-4A47-83A1-512A2F895C56}" name="Sasaran PM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G8j2fBaMKr9bJp118" TargetMode="External"/><Relationship Id="rId21" Type="http://schemas.openxmlformats.org/officeDocument/2006/relationships/hyperlink" Target="https://maps.app.goo.gl/iSjQqyHnWSGNdpWH6" TargetMode="External"/><Relationship Id="rId42" Type="http://schemas.openxmlformats.org/officeDocument/2006/relationships/hyperlink" Target="https://maps.app.goo.gl/1mZw1T9AqT8KqSHA8" TargetMode="External"/><Relationship Id="rId63" Type="http://schemas.openxmlformats.org/officeDocument/2006/relationships/hyperlink" Target="https://maps.app.goo.gl/N11riKWEkPSSrmox5" TargetMode="External"/><Relationship Id="rId84" Type="http://schemas.openxmlformats.org/officeDocument/2006/relationships/hyperlink" Target="https://maps.app.goo.gl/x446EywNzLAVYRC28" TargetMode="External"/><Relationship Id="rId138" Type="http://schemas.openxmlformats.org/officeDocument/2006/relationships/hyperlink" Target="https://maps.app.goo.gl/92tCxkaX9JQokzps9" TargetMode="External"/><Relationship Id="rId159" Type="http://schemas.openxmlformats.org/officeDocument/2006/relationships/hyperlink" Target="https://maps.app.goo.gl/GAUzH5M8gzbqXzxp9" TargetMode="External"/><Relationship Id="rId170" Type="http://schemas.openxmlformats.org/officeDocument/2006/relationships/hyperlink" Target="https://maps.app.goo.gl/b9jv2fkUmtqQmnrf8" TargetMode="External"/><Relationship Id="rId191" Type="http://schemas.openxmlformats.org/officeDocument/2006/relationships/hyperlink" Target="https://maps.app.goo.gl/5AbkQcj4TrNB4v9B8" TargetMode="External"/><Relationship Id="rId205" Type="http://schemas.openxmlformats.org/officeDocument/2006/relationships/hyperlink" Target="https://maps.app.goo.gl/qYagXQrB2ivjmqL58" TargetMode="External"/><Relationship Id="rId107" Type="http://schemas.openxmlformats.org/officeDocument/2006/relationships/hyperlink" Target="https://maps.app.goo.gl/MYuhz9Y8bocZD8pG8" TargetMode="External"/><Relationship Id="rId11" Type="http://schemas.openxmlformats.org/officeDocument/2006/relationships/hyperlink" Target="https://maps.app.goo.gl/GAUzH5M8gzbqXzxp9" TargetMode="External"/><Relationship Id="rId32" Type="http://schemas.openxmlformats.org/officeDocument/2006/relationships/hyperlink" Target="https://maps.app.goo.gl/rJ5ZJeHd9wW8cWtW7" TargetMode="External"/><Relationship Id="rId53" Type="http://schemas.openxmlformats.org/officeDocument/2006/relationships/hyperlink" Target="https://maps.app.goo.gl/XztHtWxZHBNNMLtT7" TargetMode="External"/><Relationship Id="rId74" Type="http://schemas.openxmlformats.org/officeDocument/2006/relationships/hyperlink" Target="https://maps.app.goo.gl/9A6WVG8z9mZbz8Pt5" TargetMode="External"/><Relationship Id="rId128" Type="http://schemas.openxmlformats.org/officeDocument/2006/relationships/hyperlink" Target="https://maps.app.goo.gl/GAUzH5M8gzbqXzxp9" TargetMode="External"/><Relationship Id="rId149" Type="http://schemas.openxmlformats.org/officeDocument/2006/relationships/hyperlink" Target="https://maps.app.goo.gl/D3AL4PYFjzVrqTsBA" TargetMode="External"/><Relationship Id="rId5" Type="http://schemas.openxmlformats.org/officeDocument/2006/relationships/hyperlink" Target="https://maps.app.goo.gl/9A6WVG8z9mZbz8Pt5" TargetMode="External"/><Relationship Id="rId95" Type="http://schemas.openxmlformats.org/officeDocument/2006/relationships/hyperlink" Target="https://maps.app.goo.gl/7Xp9x8AXk74ALdPq7" TargetMode="External"/><Relationship Id="rId160" Type="http://schemas.openxmlformats.org/officeDocument/2006/relationships/hyperlink" Target="https://maps.app.goo.gl/65px8k8syG1SNhYD9" TargetMode="External"/><Relationship Id="rId181" Type="http://schemas.openxmlformats.org/officeDocument/2006/relationships/hyperlink" Target="https://maps.app.goo.gl/qwfNo31GPX6Zzf9w6" TargetMode="External"/><Relationship Id="rId22" Type="http://schemas.openxmlformats.org/officeDocument/2006/relationships/hyperlink" Target="https://maps.app.goo.gl/iSjQqyHnWSGNdpWH6" TargetMode="External"/><Relationship Id="rId43" Type="http://schemas.openxmlformats.org/officeDocument/2006/relationships/hyperlink" Target="https://maps.app.goo.gl/1mZw1T9AqT8KqSHA8" TargetMode="External"/><Relationship Id="rId64" Type="http://schemas.openxmlformats.org/officeDocument/2006/relationships/hyperlink" Target="https://maps.app.goo.gl/vJMG5cRPfP6ZD57h7" TargetMode="External"/><Relationship Id="rId118" Type="http://schemas.openxmlformats.org/officeDocument/2006/relationships/hyperlink" Target="https://maps.app.goo.gl/SNvx8AppG7KRANxUA" TargetMode="External"/><Relationship Id="rId139" Type="http://schemas.openxmlformats.org/officeDocument/2006/relationships/hyperlink" Target="https://maps.app.goo.gl/5AbkQcj4TrNB4v9B8" TargetMode="External"/><Relationship Id="rId85" Type="http://schemas.openxmlformats.org/officeDocument/2006/relationships/hyperlink" Target="https://maps.app.goo.gl/x446EywNzLAVYRC28" TargetMode="External"/><Relationship Id="rId150" Type="http://schemas.openxmlformats.org/officeDocument/2006/relationships/hyperlink" Target="https://maps.app.goo.gl/RW6ZWv9W5LiMUCJ69" TargetMode="External"/><Relationship Id="rId171" Type="http://schemas.openxmlformats.org/officeDocument/2006/relationships/hyperlink" Target="https://maps.app.goo.gl/GAUzH5M8gzbqXzxp9" TargetMode="External"/><Relationship Id="rId192" Type="http://schemas.openxmlformats.org/officeDocument/2006/relationships/hyperlink" Target="https://maps.app.goo.gl/GAUzH5M8gzbqXzxp9" TargetMode="External"/><Relationship Id="rId206" Type="http://schemas.openxmlformats.org/officeDocument/2006/relationships/hyperlink" Target="https://maps.app.goo.gl/6eu58pz62zTBULKa9" TargetMode="External"/><Relationship Id="rId12" Type="http://schemas.openxmlformats.org/officeDocument/2006/relationships/hyperlink" Target="https://maps.app.goo.gl/qatEc75PU1hSthUj8" TargetMode="External"/><Relationship Id="rId33" Type="http://schemas.openxmlformats.org/officeDocument/2006/relationships/hyperlink" Target="https://maps.app.goo.gl/rJ5ZJeHd9wW8cWtW7" TargetMode="External"/><Relationship Id="rId108" Type="http://schemas.openxmlformats.org/officeDocument/2006/relationships/hyperlink" Target="https://maps.app.goo.gl/SzzzFGfDmbQ6LfLE6" TargetMode="External"/><Relationship Id="rId129" Type="http://schemas.openxmlformats.org/officeDocument/2006/relationships/hyperlink" Target="https://maps.app.goo.gl/Eszpt5FH9SQGZcME6" TargetMode="External"/><Relationship Id="rId54" Type="http://schemas.openxmlformats.org/officeDocument/2006/relationships/hyperlink" Target="https://maps.app.goo.gl/oMaaeR96pvYguNvq6" TargetMode="External"/><Relationship Id="rId75" Type="http://schemas.openxmlformats.org/officeDocument/2006/relationships/hyperlink" Target="https://maps.app.goo.gl/5AbkQcj4TrNB4v9B8" TargetMode="External"/><Relationship Id="rId96" Type="http://schemas.openxmlformats.org/officeDocument/2006/relationships/hyperlink" Target="https://maps.app.goo.gl/7Xp9x8AXk74ALdPq7" TargetMode="External"/><Relationship Id="rId140" Type="http://schemas.openxmlformats.org/officeDocument/2006/relationships/hyperlink" Target="https://maps.app.goo.gl/iuBGsozAXz1ZcqFw9" TargetMode="External"/><Relationship Id="rId161" Type="http://schemas.openxmlformats.org/officeDocument/2006/relationships/hyperlink" Target="https://maps.app.goo.gl/uWDWDgF8z7FAXJLz5" TargetMode="External"/><Relationship Id="rId182" Type="http://schemas.openxmlformats.org/officeDocument/2006/relationships/hyperlink" Target="https://maps.app.goo.gl/6eu58pz62zTBULKa9" TargetMode="External"/><Relationship Id="rId6" Type="http://schemas.openxmlformats.org/officeDocument/2006/relationships/hyperlink" Target="https://maps.app.goo.gl/9A6WVG8z9mZbz8Pt5" TargetMode="External"/><Relationship Id="rId23" Type="http://schemas.openxmlformats.org/officeDocument/2006/relationships/hyperlink" Target="https://maps.app.goo.gl/VMXffqnFREQvFqvp7" TargetMode="External"/><Relationship Id="rId119" Type="http://schemas.openxmlformats.org/officeDocument/2006/relationships/hyperlink" Target="https://maps.app.goo.gl/SNvx8AppG7KRANxUA" TargetMode="External"/><Relationship Id="rId44" Type="http://schemas.openxmlformats.org/officeDocument/2006/relationships/hyperlink" Target="https://maps.app.goo.gl/7Xp9x8AXk74ALdPq7" TargetMode="External"/><Relationship Id="rId65" Type="http://schemas.openxmlformats.org/officeDocument/2006/relationships/hyperlink" Target="https://maps.app.goo.gl/GAUzH5M8gzbqXzxp9" TargetMode="External"/><Relationship Id="rId86" Type="http://schemas.openxmlformats.org/officeDocument/2006/relationships/hyperlink" Target="https://maps.app.goo.gl/zJyrYEfHjc33NAdBA" TargetMode="External"/><Relationship Id="rId130" Type="http://schemas.openxmlformats.org/officeDocument/2006/relationships/hyperlink" Target="https://maps.app.goo.gl/GAUzH5M8gzbqXzxp9" TargetMode="External"/><Relationship Id="rId151" Type="http://schemas.openxmlformats.org/officeDocument/2006/relationships/hyperlink" Target="https://maps.app.goo.gl/1YrR5sDH1b5WF8XL9" TargetMode="External"/><Relationship Id="rId172" Type="http://schemas.openxmlformats.org/officeDocument/2006/relationships/hyperlink" Target="https://maps.app.goo.gl/GAUzH5M8gzbqXzxp9" TargetMode="External"/><Relationship Id="rId193" Type="http://schemas.openxmlformats.org/officeDocument/2006/relationships/hyperlink" Target="https://maps.app.goo.gl/Av8N2dJA2zRcDuW86" TargetMode="External"/><Relationship Id="rId207" Type="http://schemas.openxmlformats.org/officeDocument/2006/relationships/hyperlink" Target="https://maps.app.goo.gl/6eu58pz62zTBULKa9" TargetMode="External"/><Relationship Id="rId13" Type="http://schemas.openxmlformats.org/officeDocument/2006/relationships/hyperlink" Target="https://maps.app.goo.gl/uWDWDgF8z7FAXJLz5" TargetMode="External"/><Relationship Id="rId109" Type="http://schemas.openxmlformats.org/officeDocument/2006/relationships/hyperlink" Target="https://maps.app.goo.gl/j7KPkriUXawUswF5A" TargetMode="External"/><Relationship Id="rId34" Type="http://schemas.openxmlformats.org/officeDocument/2006/relationships/hyperlink" Target="https://maps.app.goo.gl/N11riKWEkPSSrmox5" TargetMode="External"/><Relationship Id="rId55" Type="http://schemas.openxmlformats.org/officeDocument/2006/relationships/hyperlink" Target="https://maps.app.goo.gl/oMaaeR96pvYguNvq6" TargetMode="External"/><Relationship Id="rId76" Type="http://schemas.openxmlformats.org/officeDocument/2006/relationships/hyperlink" Target="https://maps.app.goo.gl/GAUzH5M8gzbqXzxp9" TargetMode="External"/><Relationship Id="rId97" Type="http://schemas.openxmlformats.org/officeDocument/2006/relationships/hyperlink" Target="https://maps.app.goo.gl/MYuhz9Y8bocZD8pG8" TargetMode="External"/><Relationship Id="rId120" Type="http://schemas.openxmlformats.org/officeDocument/2006/relationships/hyperlink" Target="https://maps.app.goo.gl/SNvx8AppG7KRANxUA" TargetMode="External"/><Relationship Id="rId141" Type="http://schemas.openxmlformats.org/officeDocument/2006/relationships/hyperlink" Target="https://maps.app.goo.gl/GAUzH5M8gzbqXzxp9" TargetMode="External"/><Relationship Id="rId7" Type="http://schemas.openxmlformats.org/officeDocument/2006/relationships/hyperlink" Target="https://maps.app.goo.gl/GAUzH5M8gzbqXzxp9" TargetMode="External"/><Relationship Id="rId162" Type="http://schemas.openxmlformats.org/officeDocument/2006/relationships/hyperlink" Target="https://maps.app.goo.gl/RWuaaWqXtAopiwyCA" TargetMode="External"/><Relationship Id="rId183" Type="http://schemas.openxmlformats.org/officeDocument/2006/relationships/hyperlink" Target="https://maps.app.goo.gl/6eu58pz62zTBULKa9" TargetMode="External"/><Relationship Id="rId24" Type="http://schemas.openxmlformats.org/officeDocument/2006/relationships/hyperlink" Target="https://maps.app.goo.gl/VMXffqnFREQvFqvp7" TargetMode="External"/><Relationship Id="rId45" Type="http://schemas.openxmlformats.org/officeDocument/2006/relationships/hyperlink" Target="https://maps.app.goo.gl/zbwNRBsTMrYWEWjf6" TargetMode="External"/><Relationship Id="rId66" Type="http://schemas.openxmlformats.org/officeDocument/2006/relationships/hyperlink" Target="https://maps.app.goo.gl/RWuaaWqXtAopiwyCA" TargetMode="External"/><Relationship Id="rId87" Type="http://schemas.openxmlformats.org/officeDocument/2006/relationships/hyperlink" Target="https://maps.app.goo.gl/TMH8Std4kzNsKDNN7" TargetMode="External"/><Relationship Id="rId110" Type="http://schemas.openxmlformats.org/officeDocument/2006/relationships/hyperlink" Target="https://maps.app.goo.gl/MYuhz9Y8bocZD8pG8" TargetMode="External"/><Relationship Id="rId131" Type="http://schemas.openxmlformats.org/officeDocument/2006/relationships/hyperlink" Target="https://maps.app.goo.gl/gDtbnprVSW5VXYe37" TargetMode="External"/><Relationship Id="rId152" Type="http://schemas.openxmlformats.org/officeDocument/2006/relationships/hyperlink" Target="https://maps.app.goo.gl/7eXL56Z2MB89S57z6" TargetMode="External"/><Relationship Id="rId173" Type="http://schemas.openxmlformats.org/officeDocument/2006/relationships/hyperlink" Target="https://maps.app.goo.gl/srn2QykT842UH5Wq7" TargetMode="External"/><Relationship Id="rId194" Type="http://schemas.openxmlformats.org/officeDocument/2006/relationships/hyperlink" Target="https://maps.app.goo.gl/GAUzH5M8gzbqXzxp9" TargetMode="External"/><Relationship Id="rId208" Type="http://schemas.openxmlformats.org/officeDocument/2006/relationships/hyperlink" Target="https://maps.app.goo.gl/6eu58pz62zTBULKa9" TargetMode="External"/><Relationship Id="rId19" Type="http://schemas.openxmlformats.org/officeDocument/2006/relationships/hyperlink" Target="https://maps.app.goo.gl/GAUzH5M8gzbqXzxp9" TargetMode="External"/><Relationship Id="rId14" Type="http://schemas.openxmlformats.org/officeDocument/2006/relationships/hyperlink" Target="https://maps.app.goo.gl/92tCxkaX9JQokzps9" TargetMode="External"/><Relationship Id="rId30" Type="http://schemas.openxmlformats.org/officeDocument/2006/relationships/hyperlink" Target="https://maps.app.goo.gl/FtWQBkMx6qK65TgBA" TargetMode="External"/><Relationship Id="rId35" Type="http://schemas.openxmlformats.org/officeDocument/2006/relationships/hyperlink" Target="https://maps.app.goo.gl/N11riKWEkPSSrmox5" TargetMode="External"/><Relationship Id="rId56" Type="http://schemas.openxmlformats.org/officeDocument/2006/relationships/hyperlink" Target="https://maps.app.goo.gl/oMaaeR96pvYguNvq6" TargetMode="External"/><Relationship Id="rId77" Type="http://schemas.openxmlformats.org/officeDocument/2006/relationships/hyperlink" Target="https://maps.app.goo.gl/Sua1CEAmB6KFuSZt6" TargetMode="External"/><Relationship Id="rId100" Type="http://schemas.openxmlformats.org/officeDocument/2006/relationships/hyperlink" Target="https://maps.app.goo.gl/yS5AxFgUr5kYDQVy8" TargetMode="External"/><Relationship Id="rId105" Type="http://schemas.openxmlformats.org/officeDocument/2006/relationships/hyperlink" Target="https://maps.app.goo.gl/SzzzFGfDmbQ6LfLE6" TargetMode="External"/><Relationship Id="rId126" Type="http://schemas.openxmlformats.org/officeDocument/2006/relationships/hyperlink" Target="https://maps.app.goo.gl/GAUzH5M8gzbqXzxp9" TargetMode="External"/><Relationship Id="rId147" Type="http://schemas.openxmlformats.org/officeDocument/2006/relationships/hyperlink" Target="https://maps.app.goo.gl/3eTMQ6MR23Dq4K517" TargetMode="External"/><Relationship Id="rId168" Type="http://schemas.openxmlformats.org/officeDocument/2006/relationships/hyperlink" Target="https://maps.app.goo.gl/cyMfxghsWKRjgFHc9" TargetMode="External"/><Relationship Id="rId8" Type="http://schemas.openxmlformats.org/officeDocument/2006/relationships/hyperlink" Target="https://maps.app.goo.gl/GAUzH5M8gzbqXzxp9" TargetMode="External"/><Relationship Id="rId51" Type="http://schemas.openxmlformats.org/officeDocument/2006/relationships/hyperlink" Target="https://maps.app.goo.gl/XztHtWxZHBNNMLtT7" TargetMode="External"/><Relationship Id="rId72" Type="http://schemas.openxmlformats.org/officeDocument/2006/relationships/hyperlink" Target="https://maps.app.goo.gl/5AbkQcj4TrNB4v9B8" TargetMode="External"/><Relationship Id="rId93" Type="http://schemas.openxmlformats.org/officeDocument/2006/relationships/hyperlink" Target="https://maps.app.goo.gl/SNvx8AppG7KRANxUA" TargetMode="External"/><Relationship Id="rId98" Type="http://schemas.openxmlformats.org/officeDocument/2006/relationships/hyperlink" Target="https://maps.app.goo.gl/yS5AxFgUr5kYDQVy8" TargetMode="External"/><Relationship Id="rId121" Type="http://schemas.openxmlformats.org/officeDocument/2006/relationships/hyperlink" Target="https://maps.app.goo.gl/zbwNRBsTMrYWEWjf6" TargetMode="External"/><Relationship Id="rId142" Type="http://schemas.openxmlformats.org/officeDocument/2006/relationships/hyperlink" Target="https://maps.app.goo.gl/GAUzH5M8gzbqXzxp9" TargetMode="External"/><Relationship Id="rId163" Type="http://schemas.openxmlformats.org/officeDocument/2006/relationships/hyperlink" Target="https://maps.app.goo.gl/GAUzH5M8gzbqXzxp9" TargetMode="External"/><Relationship Id="rId184" Type="http://schemas.openxmlformats.org/officeDocument/2006/relationships/hyperlink" Target="https://maps.app.goo.gl/ZwT9eK2DkG5MbYRk7" TargetMode="External"/><Relationship Id="rId189" Type="http://schemas.openxmlformats.org/officeDocument/2006/relationships/hyperlink" Target="https://maps.app.goo.gl/GAUzH5M8gzbqXzxp9" TargetMode="External"/><Relationship Id="rId3" Type="http://schemas.openxmlformats.org/officeDocument/2006/relationships/hyperlink" Target="https://maps.app.goo.gl/RWuaaWqXtAopiwyCA" TargetMode="External"/><Relationship Id="rId214" Type="http://schemas.openxmlformats.org/officeDocument/2006/relationships/printerSettings" Target="../printerSettings/printerSettings1.bin"/><Relationship Id="rId25" Type="http://schemas.openxmlformats.org/officeDocument/2006/relationships/hyperlink" Target="https://maps.app.goo.gl/GAUzH5M8gzbqXzxp9" TargetMode="External"/><Relationship Id="rId46" Type="http://schemas.openxmlformats.org/officeDocument/2006/relationships/hyperlink" Target="https://maps.app.goo.gl/zbwNRBsTMrYWEWjf6" TargetMode="External"/><Relationship Id="rId67" Type="http://schemas.openxmlformats.org/officeDocument/2006/relationships/hyperlink" Target="https://maps.app.goo.gl/kBrF3G2jdioEDHqL7" TargetMode="External"/><Relationship Id="rId116" Type="http://schemas.openxmlformats.org/officeDocument/2006/relationships/hyperlink" Target="https://maps.app.goo.gl/5AbkQcj4TrNB4v9B8" TargetMode="External"/><Relationship Id="rId137" Type="http://schemas.openxmlformats.org/officeDocument/2006/relationships/hyperlink" Target="https://maps.app.goo.gl/65px8k8syG1SNhYD9" TargetMode="External"/><Relationship Id="rId158" Type="http://schemas.openxmlformats.org/officeDocument/2006/relationships/hyperlink" Target="https://maps.app.goo.gl/GjTJzefLNzAKno3GA" TargetMode="External"/><Relationship Id="rId20" Type="http://schemas.openxmlformats.org/officeDocument/2006/relationships/hyperlink" Target="https://maps.app.goo.gl/GAUzH5M8gzbqXzxp9" TargetMode="External"/><Relationship Id="rId41" Type="http://schemas.openxmlformats.org/officeDocument/2006/relationships/hyperlink" Target="https://maps.app.goo.gl/TeeskN6298qykBQj9" TargetMode="External"/><Relationship Id="rId62" Type="http://schemas.openxmlformats.org/officeDocument/2006/relationships/hyperlink" Target="https://maps.app.goo.gl/NXEKUc8XNK6Hj91L8" TargetMode="External"/><Relationship Id="rId83" Type="http://schemas.openxmlformats.org/officeDocument/2006/relationships/hyperlink" Target="https://maps.app.goo.gl/uWDWDgF8z7FAXJLz5" TargetMode="External"/><Relationship Id="rId88" Type="http://schemas.openxmlformats.org/officeDocument/2006/relationships/hyperlink" Target="https://maps.app.goo.gl/2Ju2BPSVjRyB1nHA9" TargetMode="External"/><Relationship Id="rId111" Type="http://schemas.openxmlformats.org/officeDocument/2006/relationships/hyperlink" Target="https://maps.app.goo.gl/65px8k8syG1SNhYD9" TargetMode="External"/><Relationship Id="rId132" Type="http://schemas.openxmlformats.org/officeDocument/2006/relationships/hyperlink" Target="https://maps.app.goo.gl/iFwmXE8zMg5n1pau8" TargetMode="External"/><Relationship Id="rId153" Type="http://schemas.openxmlformats.org/officeDocument/2006/relationships/hyperlink" Target="https://maps.app.goo.gl/68zon7txqf3onn67A" TargetMode="External"/><Relationship Id="rId174" Type="http://schemas.openxmlformats.org/officeDocument/2006/relationships/hyperlink" Target="https://maps.app.goo.gl/cyMfxghsWKRjgFHc9" TargetMode="External"/><Relationship Id="rId179" Type="http://schemas.openxmlformats.org/officeDocument/2006/relationships/hyperlink" Target="https://maps.app.goo.gl/6eu58pz62zTBULKa9" TargetMode="External"/><Relationship Id="rId195" Type="http://schemas.openxmlformats.org/officeDocument/2006/relationships/hyperlink" Target="https://maps.app.goo.gl/GAUzH5M8gzbqXzxp9" TargetMode="External"/><Relationship Id="rId209" Type="http://schemas.openxmlformats.org/officeDocument/2006/relationships/hyperlink" Target="https://maps.app.goo.gl/6eu58pz62zTBULKa9" TargetMode="External"/><Relationship Id="rId190" Type="http://schemas.openxmlformats.org/officeDocument/2006/relationships/hyperlink" Target="https://maps.app.goo.gl/65px8k8syG1SNhYD9" TargetMode="External"/><Relationship Id="rId204" Type="http://schemas.openxmlformats.org/officeDocument/2006/relationships/hyperlink" Target="https://maps.app.goo.gl/TtaBVd2RCtxh1uNXA" TargetMode="External"/><Relationship Id="rId15" Type="http://schemas.openxmlformats.org/officeDocument/2006/relationships/hyperlink" Target="https://maps.app.goo.gl/5AbkQcj4TrNB4v9B8" TargetMode="External"/><Relationship Id="rId36" Type="http://schemas.openxmlformats.org/officeDocument/2006/relationships/hyperlink" Target="https://maps.app.goo.gl/LrqQ7yRbHCYiMBsu8" TargetMode="External"/><Relationship Id="rId57" Type="http://schemas.openxmlformats.org/officeDocument/2006/relationships/hyperlink" Target="https://maps.app.goo.gl/oMaaeR96pvYguNvq6" TargetMode="External"/><Relationship Id="rId106" Type="http://schemas.openxmlformats.org/officeDocument/2006/relationships/hyperlink" Target="https://maps.app.goo.gl/SzzzFGfDmbQ6LfLE6" TargetMode="External"/><Relationship Id="rId127" Type="http://schemas.openxmlformats.org/officeDocument/2006/relationships/hyperlink" Target="https://maps.app.goo.gl/5AbkQcj4TrNB4v9B8" TargetMode="External"/><Relationship Id="rId10" Type="http://schemas.openxmlformats.org/officeDocument/2006/relationships/hyperlink" Target="https://maps.app.goo.gl/GAUzH5M8gzbqXzxp9" TargetMode="External"/><Relationship Id="rId31" Type="http://schemas.openxmlformats.org/officeDocument/2006/relationships/hyperlink" Target="https://maps.app.goo.gl/LrqQ7yRbHCYiMBsu8" TargetMode="External"/><Relationship Id="rId52" Type="http://schemas.openxmlformats.org/officeDocument/2006/relationships/hyperlink" Target="https://maps.app.goo.gl/XztHtWxZHBNNMLtT7" TargetMode="External"/><Relationship Id="rId73" Type="http://schemas.openxmlformats.org/officeDocument/2006/relationships/hyperlink" Target="https://maps.app.goo.gl/9A6WVG8z9mZbz8Pt5" TargetMode="External"/><Relationship Id="rId78" Type="http://schemas.openxmlformats.org/officeDocument/2006/relationships/hyperlink" Target="https://maps.app.goo.gl/65px8k8syG1SNhYD9" TargetMode="External"/><Relationship Id="rId94" Type="http://schemas.openxmlformats.org/officeDocument/2006/relationships/hyperlink" Target="https://maps.app.goo.gl/SNvx8AppG7KRANxUA" TargetMode="External"/><Relationship Id="rId99" Type="http://schemas.openxmlformats.org/officeDocument/2006/relationships/hyperlink" Target="https://maps.app.goo.gl/yS5AxFgUr5kYDQVy8" TargetMode="External"/><Relationship Id="rId101" Type="http://schemas.openxmlformats.org/officeDocument/2006/relationships/hyperlink" Target="https://maps.app.goo.gl/yS5AxFgUr5kYDQVy8" TargetMode="External"/><Relationship Id="rId122" Type="http://schemas.openxmlformats.org/officeDocument/2006/relationships/hyperlink" Target="https://maps.app.goo.gl/Np9YeStP29pG4Gn99" TargetMode="External"/><Relationship Id="rId143" Type="http://schemas.openxmlformats.org/officeDocument/2006/relationships/hyperlink" Target="https://maps.app.goo.gl/iuBGsozAXz1ZcqFw9" TargetMode="External"/><Relationship Id="rId148" Type="http://schemas.openxmlformats.org/officeDocument/2006/relationships/hyperlink" Target="https://maps.app.goo.gl/3eTMQ6MR23Dq4K517" TargetMode="External"/><Relationship Id="rId164" Type="http://schemas.openxmlformats.org/officeDocument/2006/relationships/hyperlink" Target="https://maps.app.goo.gl/5AbkQcj4TrNB4v9B8" TargetMode="External"/><Relationship Id="rId169" Type="http://schemas.openxmlformats.org/officeDocument/2006/relationships/hyperlink" Target="https://maps.app.goo.gl/LAeGeg9xRLAQPQUE7" TargetMode="External"/><Relationship Id="rId185" Type="http://schemas.openxmlformats.org/officeDocument/2006/relationships/hyperlink" Target="https://maps.app.goo.gl/7Xp9x8AXk74ALdPq7" TargetMode="External"/><Relationship Id="rId4" Type="http://schemas.openxmlformats.org/officeDocument/2006/relationships/hyperlink" Target="https://maps.app.goo.gl/G8j2fBaMKr9bJp118" TargetMode="External"/><Relationship Id="rId9" Type="http://schemas.openxmlformats.org/officeDocument/2006/relationships/hyperlink" Target="https://maps.app.goo.gl/5AbkQcj4TrNB4v9B8" TargetMode="External"/><Relationship Id="rId180" Type="http://schemas.openxmlformats.org/officeDocument/2006/relationships/hyperlink" Target="https://maps.app.goo.gl/6eu58pz62zTBULKa9" TargetMode="External"/><Relationship Id="rId210" Type="http://schemas.openxmlformats.org/officeDocument/2006/relationships/hyperlink" Target="https://maps.app.goo.gl/6eu58pz62zTBULKa9" TargetMode="External"/><Relationship Id="rId215" Type="http://schemas.openxmlformats.org/officeDocument/2006/relationships/table" Target="../tables/table1.xml"/><Relationship Id="rId26" Type="http://schemas.openxmlformats.org/officeDocument/2006/relationships/hyperlink" Target="https://maps.app.goo.gl/S5DGLC5xZf3SAWGe7" TargetMode="External"/><Relationship Id="rId47" Type="http://schemas.openxmlformats.org/officeDocument/2006/relationships/hyperlink" Target="https://maps.app.goo.gl/zbwNRBsTMrYWEWjf6" TargetMode="External"/><Relationship Id="rId68" Type="http://schemas.openxmlformats.org/officeDocument/2006/relationships/hyperlink" Target="https://maps.app.goo.gl/jre1VJBYWESatK5n7" TargetMode="External"/><Relationship Id="rId89" Type="http://schemas.openxmlformats.org/officeDocument/2006/relationships/hyperlink" Target="https://maps.app.goo.gl/a2K6T8eodoTdFVmE6" TargetMode="External"/><Relationship Id="rId112" Type="http://schemas.openxmlformats.org/officeDocument/2006/relationships/hyperlink" Target="https://maps.app.goo.gl/GAUzH5M8gzbqXzxp9" TargetMode="External"/><Relationship Id="rId133" Type="http://schemas.openxmlformats.org/officeDocument/2006/relationships/hyperlink" Target="https://maps.app.goo.gl/WuiJhU6v5Qf4xUL18" TargetMode="External"/><Relationship Id="rId154" Type="http://schemas.openxmlformats.org/officeDocument/2006/relationships/hyperlink" Target="https://maps.app.goo.gl/RW6ZWv9W5LiMUCJ69" TargetMode="External"/><Relationship Id="rId175" Type="http://schemas.openxmlformats.org/officeDocument/2006/relationships/hyperlink" Target="https://maps.app.goo.gl/6eu58pz62zTBULKa9" TargetMode="External"/><Relationship Id="rId196" Type="http://schemas.openxmlformats.org/officeDocument/2006/relationships/hyperlink" Target="https://maps.app.goo.gl/uWDWDgF8z7FAXJLz5" TargetMode="External"/><Relationship Id="rId200" Type="http://schemas.openxmlformats.org/officeDocument/2006/relationships/hyperlink" Target="https://maps.app.goo.gl/w3iykSj88nznuGo58" TargetMode="External"/><Relationship Id="rId16" Type="http://schemas.openxmlformats.org/officeDocument/2006/relationships/hyperlink" Target="https://maps.app.goo.gl/GAUzH5M8gzbqXzxp9" TargetMode="External"/><Relationship Id="rId37" Type="http://schemas.openxmlformats.org/officeDocument/2006/relationships/hyperlink" Target="https://maps.app.goo.gl/yeXiYGHfSqgYpFTj9" TargetMode="External"/><Relationship Id="rId58" Type="http://schemas.openxmlformats.org/officeDocument/2006/relationships/hyperlink" Target="https://maps.app.goo.gl/oMaaeR96pvYguNvq6" TargetMode="External"/><Relationship Id="rId79" Type="http://schemas.openxmlformats.org/officeDocument/2006/relationships/hyperlink" Target="https://maps.app.goo.gl/GAUzH5M8gzbqXzxp9" TargetMode="External"/><Relationship Id="rId102" Type="http://schemas.openxmlformats.org/officeDocument/2006/relationships/hyperlink" Target="https://maps.app.goo.gl/yS5AxFgUr5kYDQVy8" TargetMode="External"/><Relationship Id="rId123" Type="http://schemas.openxmlformats.org/officeDocument/2006/relationships/hyperlink" Target="https://maps.app.goo.gl/d1jkDnW5jsMwyG2b6" TargetMode="External"/><Relationship Id="rId144" Type="http://schemas.openxmlformats.org/officeDocument/2006/relationships/hyperlink" Target="https://maps.app.goo.gl/uWDWDgF8z7FAXJLz5" TargetMode="External"/><Relationship Id="rId90" Type="http://schemas.openxmlformats.org/officeDocument/2006/relationships/hyperlink" Target="https://maps.app.goo.gl/a2K6T8eodoTdFVmE6" TargetMode="External"/><Relationship Id="rId165" Type="http://schemas.openxmlformats.org/officeDocument/2006/relationships/hyperlink" Target="https://maps.app.goo.gl/H58bj4SVdDxo9S4b6" TargetMode="External"/><Relationship Id="rId186" Type="http://schemas.openxmlformats.org/officeDocument/2006/relationships/hyperlink" Target="https://maps.app.goo.gl/7Xp9x8AXk74ALdPq7" TargetMode="External"/><Relationship Id="rId211" Type="http://schemas.openxmlformats.org/officeDocument/2006/relationships/hyperlink" Target="https://maps.app.goo.gl/6eu58pz62zTBULKa9" TargetMode="External"/><Relationship Id="rId27" Type="http://schemas.openxmlformats.org/officeDocument/2006/relationships/hyperlink" Target="https://maps.app.goo.gl/ihyRhg9QNWEjZT1G8" TargetMode="External"/><Relationship Id="rId48" Type="http://schemas.openxmlformats.org/officeDocument/2006/relationships/hyperlink" Target="https://maps.app.goo.gl/XztHtWxZHBNNMLtT7" TargetMode="External"/><Relationship Id="rId69" Type="http://schemas.openxmlformats.org/officeDocument/2006/relationships/hyperlink" Target="https://maps.app.goo.gl/5AbkQcj4TrNB4v9B8" TargetMode="External"/><Relationship Id="rId113" Type="http://schemas.openxmlformats.org/officeDocument/2006/relationships/hyperlink" Target="https://maps.app.goo.gl/GAUzH5M8gzbqXzxp9" TargetMode="External"/><Relationship Id="rId134" Type="http://schemas.openxmlformats.org/officeDocument/2006/relationships/hyperlink" Target="https://maps.app.goo.gl/GAUzH5M8gzbqXzxp9" TargetMode="External"/><Relationship Id="rId80" Type="http://schemas.openxmlformats.org/officeDocument/2006/relationships/hyperlink" Target="https://maps.app.goo.gl/GAUzH5M8gzbqXzxp9" TargetMode="External"/><Relationship Id="rId155" Type="http://schemas.openxmlformats.org/officeDocument/2006/relationships/hyperlink" Target="https://maps.app.goo.gl/XKZpmwwHttCazwFm8" TargetMode="External"/><Relationship Id="rId176" Type="http://schemas.openxmlformats.org/officeDocument/2006/relationships/hyperlink" Target="https://maps.app.goo.gl/6eu58pz62zTBULKa9" TargetMode="External"/><Relationship Id="rId197" Type="http://schemas.openxmlformats.org/officeDocument/2006/relationships/hyperlink" Target="https://maps.app.goo.gl/uWDWDgF8z7FAXJLz5" TargetMode="External"/><Relationship Id="rId201" Type="http://schemas.openxmlformats.org/officeDocument/2006/relationships/hyperlink" Target="https://maps.app.goo.gl/MvjmenBHcKnJKrNUA" TargetMode="External"/><Relationship Id="rId17" Type="http://schemas.openxmlformats.org/officeDocument/2006/relationships/hyperlink" Target="https://maps.app.goo.gl/iuBGsozAXz1ZcqFw9" TargetMode="External"/><Relationship Id="rId38" Type="http://schemas.openxmlformats.org/officeDocument/2006/relationships/hyperlink" Target="https://maps.app.goo.gl/vJMG5cRPfP6ZD57h7" TargetMode="External"/><Relationship Id="rId59" Type="http://schemas.openxmlformats.org/officeDocument/2006/relationships/hyperlink" Target="https://maps.app.goo.gl/oMaaeR96pvYguNvq6" TargetMode="External"/><Relationship Id="rId103" Type="http://schemas.openxmlformats.org/officeDocument/2006/relationships/hyperlink" Target="https://maps.app.goo.gl/yS5AxFgUr5kYDQVy8" TargetMode="External"/><Relationship Id="rId124" Type="http://schemas.openxmlformats.org/officeDocument/2006/relationships/hyperlink" Target="https://maps.app.goo.gl/6eu58pz62zTBULKa9" TargetMode="External"/><Relationship Id="rId70" Type="http://schemas.openxmlformats.org/officeDocument/2006/relationships/hyperlink" Target="https://maps.app.goo.gl/GAUzH5M8gzbqXzxp9" TargetMode="External"/><Relationship Id="rId91" Type="http://schemas.openxmlformats.org/officeDocument/2006/relationships/hyperlink" Target="https://maps.app.goo.gl/TMH8Std4kzNsKDNN7" TargetMode="External"/><Relationship Id="rId145" Type="http://schemas.openxmlformats.org/officeDocument/2006/relationships/hyperlink" Target="https://maps.app.goo.gl/G8j2fBaMKr9bJp118" TargetMode="External"/><Relationship Id="rId166" Type="http://schemas.openxmlformats.org/officeDocument/2006/relationships/hyperlink" Target="https://maps.app.goo.gl/rw5EkoKC2yGLcugNA" TargetMode="External"/><Relationship Id="rId187" Type="http://schemas.openxmlformats.org/officeDocument/2006/relationships/hyperlink" Target="https://maps.app.goo.gl/5AbkQcj4TrNB4v9B8" TargetMode="External"/><Relationship Id="rId1" Type="http://schemas.openxmlformats.org/officeDocument/2006/relationships/hyperlink" Target="https://maps.app.goo.gl/G8j2fBaMKr9bJp118" TargetMode="External"/><Relationship Id="rId212" Type="http://schemas.openxmlformats.org/officeDocument/2006/relationships/hyperlink" Target="https://maps.app.goo.gl/4uGNpYzmtRGYmFsN8" TargetMode="External"/><Relationship Id="rId28" Type="http://schemas.openxmlformats.org/officeDocument/2006/relationships/hyperlink" Target="https://maps.app.goo.gl/ihyRhg9QNWEjZT1G8" TargetMode="External"/><Relationship Id="rId49" Type="http://schemas.openxmlformats.org/officeDocument/2006/relationships/hyperlink" Target="https://maps.app.goo.gl/XztHtWxZHBNNMLtT7" TargetMode="External"/><Relationship Id="rId114" Type="http://schemas.openxmlformats.org/officeDocument/2006/relationships/hyperlink" Target="https://maps.app.goo.gl/uWDWDgF8z7FAXJLz5" TargetMode="External"/><Relationship Id="rId60" Type="http://schemas.openxmlformats.org/officeDocument/2006/relationships/hyperlink" Target="https://maps.app.goo.gl/SNvx8AppG7KRANxUA" TargetMode="External"/><Relationship Id="rId81" Type="http://schemas.openxmlformats.org/officeDocument/2006/relationships/hyperlink" Target="https://maps.app.goo.gl/GAUzH5M8gzbqXzxp9" TargetMode="External"/><Relationship Id="rId135" Type="http://schemas.openxmlformats.org/officeDocument/2006/relationships/hyperlink" Target="https://maps.app.goo.gl/ghS6acCwpFMU53By8" TargetMode="External"/><Relationship Id="rId156" Type="http://schemas.openxmlformats.org/officeDocument/2006/relationships/hyperlink" Target="https://maps.app.goo.gl/G5xkbf9242vCPW7L6" TargetMode="External"/><Relationship Id="rId177" Type="http://schemas.openxmlformats.org/officeDocument/2006/relationships/hyperlink" Target="https://maps.app.goo.gl/6eu58pz62zTBULKa9" TargetMode="External"/><Relationship Id="rId198" Type="http://schemas.openxmlformats.org/officeDocument/2006/relationships/hyperlink" Target="https://maps.app.goo.gl/65px8k8syG1SNhYD9" TargetMode="External"/><Relationship Id="rId202" Type="http://schemas.openxmlformats.org/officeDocument/2006/relationships/hyperlink" Target="https://maps.app.goo.gl/65px8k8syG1SNhYD9" TargetMode="External"/><Relationship Id="rId18" Type="http://schemas.openxmlformats.org/officeDocument/2006/relationships/hyperlink" Target="https://maps.app.goo.gl/iuBGsozAXz1ZcqFw9" TargetMode="External"/><Relationship Id="rId39" Type="http://schemas.openxmlformats.org/officeDocument/2006/relationships/hyperlink" Target="https://maps.app.goo.gl/TeeskN6298qykBQj9" TargetMode="External"/><Relationship Id="rId50" Type="http://schemas.openxmlformats.org/officeDocument/2006/relationships/hyperlink" Target="https://maps.app.goo.gl/XztHtWxZHBNNMLtT7" TargetMode="External"/><Relationship Id="rId104" Type="http://schemas.openxmlformats.org/officeDocument/2006/relationships/hyperlink" Target="https://maps.app.goo.gl/yS5AxFgUr5kYDQVy8" TargetMode="External"/><Relationship Id="rId125" Type="http://schemas.openxmlformats.org/officeDocument/2006/relationships/hyperlink" Target="https://maps.app.goo.gl/6eu58pz62zTBULKa9" TargetMode="External"/><Relationship Id="rId146" Type="http://schemas.openxmlformats.org/officeDocument/2006/relationships/hyperlink" Target="https://maps.app.goo.gl/G8j2fBaMKr9bJp118" TargetMode="External"/><Relationship Id="rId167" Type="http://schemas.openxmlformats.org/officeDocument/2006/relationships/hyperlink" Target="https://maps.app.goo.gl/srn2QykT842UH5Wq7" TargetMode="External"/><Relationship Id="rId188" Type="http://schemas.openxmlformats.org/officeDocument/2006/relationships/hyperlink" Target="https://maps.app.goo.gl/GAUzH5M8gzbqXzxp9" TargetMode="External"/><Relationship Id="rId71" Type="http://schemas.openxmlformats.org/officeDocument/2006/relationships/hyperlink" Target="https://maps.app.goo.gl/GAUzH5M8gzbqXzxp9" TargetMode="External"/><Relationship Id="rId92" Type="http://schemas.openxmlformats.org/officeDocument/2006/relationships/hyperlink" Target="https://maps.app.goo.gl/SNvx8AppG7KRANxUA" TargetMode="External"/><Relationship Id="rId213" Type="http://schemas.openxmlformats.org/officeDocument/2006/relationships/hyperlink" Target="https://maps.app.goo.gl/uWDWDgF8z7FAXJLz5" TargetMode="External"/><Relationship Id="rId2" Type="http://schemas.openxmlformats.org/officeDocument/2006/relationships/hyperlink" Target="https://maps.app.goo.gl/GAUzH5M8gzbqXzxp9" TargetMode="External"/><Relationship Id="rId29" Type="http://schemas.openxmlformats.org/officeDocument/2006/relationships/hyperlink" Target="https://maps.app.goo.gl/ihyRhg9QNWEjZT1G8" TargetMode="External"/><Relationship Id="rId40" Type="http://schemas.openxmlformats.org/officeDocument/2006/relationships/hyperlink" Target="https://maps.app.goo.gl/TeeskN6298qykBQj9" TargetMode="External"/><Relationship Id="rId115" Type="http://schemas.openxmlformats.org/officeDocument/2006/relationships/hyperlink" Target="https://maps.app.goo.gl/RWuaaWqXtAopiwyCA" TargetMode="External"/><Relationship Id="rId136" Type="http://schemas.openxmlformats.org/officeDocument/2006/relationships/hyperlink" Target="https://maps.app.goo.gl/GAUzH5M8gzbqXzxp9" TargetMode="External"/><Relationship Id="rId157" Type="http://schemas.openxmlformats.org/officeDocument/2006/relationships/hyperlink" Target="https://maps.app.goo.gl/D3AL4PYFjzVrqTsBA" TargetMode="External"/><Relationship Id="rId178" Type="http://schemas.openxmlformats.org/officeDocument/2006/relationships/hyperlink" Target="https://maps.app.goo.gl/6eu58pz62zTBULKa9" TargetMode="External"/><Relationship Id="rId61" Type="http://schemas.openxmlformats.org/officeDocument/2006/relationships/hyperlink" Target="https://maps.app.goo.gl/SNvx8AppG7KRANxUA" TargetMode="External"/><Relationship Id="rId82" Type="http://schemas.openxmlformats.org/officeDocument/2006/relationships/hyperlink" Target="https://maps.app.goo.gl/uWDWDgF8z7FAXJLz5" TargetMode="External"/><Relationship Id="rId199" Type="http://schemas.openxmlformats.org/officeDocument/2006/relationships/hyperlink" Target="https://maps.app.goo.gl/65px8k8syG1SNhYD9" TargetMode="External"/><Relationship Id="rId203" Type="http://schemas.openxmlformats.org/officeDocument/2006/relationships/hyperlink" Target="https://maps.app.goo.gl/GAUzH5M8gzbqXzxp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13" Type="http://schemas.openxmlformats.org/officeDocument/2006/relationships/table" Target="../tables/table24.xml"/><Relationship Id="rId18" Type="http://schemas.openxmlformats.org/officeDocument/2006/relationships/table" Target="../tables/table29.xml"/><Relationship Id="rId3" Type="http://schemas.openxmlformats.org/officeDocument/2006/relationships/table" Target="../tables/table14.xml"/><Relationship Id="rId21" Type="http://schemas.openxmlformats.org/officeDocument/2006/relationships/table" Target="../tables/table32.xml"/><Relationship Id="rId7" Type="http://schemas.openxmlformats.org/officeDocument/2006/relationships/table" Target="../tables/table18.xml"/><Relationship Id="rId12" Type="http://schemas.openxmlformats.org/officeDocument/2006/relationships/table" Target="../tables/table23.xml"/><Relationship Id="rId17" Type="http://schemas.openxmlformats.org/officeDocument/2006/relationships/table" Target="../tables/table28.xml"/><Relationship Id="rId2" Type="http://schemas.openxmlformats.org/officeDocument/2006/relationships/table" Target="../tables/table13.xml"/><Relationship Id="rId16" Type="http://schemas.openxmlformats.org/officeDocument/2006/relationships/table" Target="../tables/table27.xml"/><Relationship Id="rId20" Type="http://schemas.openxmlformats.org/officeDocument/2006/relationships/table" Target="../tables/table31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11" Type="http://schemas.openxmlformats.org/officeDocument/2006/relationships/table" Target="../tables/table22.xml"/><Relationship Id="rId5" Type="http://schemas.openxmlformats.org/officeDocument/2006/relationships/table" Target="../tables/table16.xml"/><Relationship Id="rId15" Type="http://schemas.openxmlformats.org/officeDocument/2006/relationships/table" Target="../tables/table26.xml"/><Relationship Id="rId10" Type="http://schemas.openxmlformats.org/officeDocument/2006/relationships/table" Target="../tables/table21.xml"/><Relationship Id="rId19" Type="http://schemas.openxmlformats.org/officeDocument/2006/relationships/table" Target="../tables/table30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Relationship Id="rId14" Type="http://schemas.openxmlformats.org/officeDocument/2006/relationships/table" Target="../tables/table25.xml"/><Relationship Id="rId22" Type="http://schemas.openxmlformats.org/officeDocument/2006/relationships/table" Target="../tables/table3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Relationship Id="rId4" Type="http://schemas.openxmlformats.org/officeDocument/2006/relationships/table" Target="../tables/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CF38-A2A3-424A-8F08-797B4760F48C}">
  <dimension ref="B1:Q217"/>
  <sheetViews>
    <sheetView showGridLines="0" zoomScale="60" zoomScaleNormal="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20" sqref="C220"/>
    </sheetView>
  </sheetViews>
  <sheetFormatPr defaultRowHeight="15.5" x14ac:dyDescent="0.35"/>
  <cols>
    <col min="1" max="1" width="4.36328125" style="73" customWidth="1"/>
    <col min="2" max="2" width="7.26953125" style="68" customWidth="1"/>
    <col min="3" max="3" width="14.7265625" style="68" customWidth="1"/>
    <col min="4" max="4" width="29.36328125" style="69" customWidth="1"/>
    <col min="5" max="5" width="20.453125" style="70" customWidth="1"/>
    <col min="6" max="6" width="25" style="69" customWidth="1"/>
    <col min="7" max="7" width="24.1796875" style="71" customWidth="1"/>
    <col min="8" max="8" width="15.7265625" style="72" customWidth="1"/>
    <col min="9" max="9" width="14.1796875" style="72" customWidth="1"/>
    <col min="10" max="10" width="14.1796875" style="69" customWidth="1"/>
    <col min="11" max="11" width="19.6328125" style="69" customWidth="1"/>
    <col min="12" max="12" width="10.36328125" style="1" customWidth="1"/>
    <col min="13" max="13" width="21.453125" style="72" bestFit="1" customWidth="1"/>
    <col min="14" max="14" width="12.81640625" style="72" customWidth="1"/>
    <col min="15" max="15" width="27.7265625" style="73" bestFit="1" customWidth="1"/>
    <col min="16" max="16" width="5.26953125" style="73" customWidth="1"/>
    <col min="17" max="17" width="11.453125" style="1" bestFit="1" customWidth="1"/>
    <col min="18" max="16384" width="8.7265625" style="73"/>
  </cols>
  <sheetData>
    <row r="1" spans="2:17" ht="16" thickBot="1" x14ac:dyDescent="0.4"/>
    <row r="2" spans="2:17" ht="24" thickBot="1" x14ac:dyDescent="0.4">
      <c r="B2" s="116" t="s">
        <v>368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8"/>
    </row>
    <row r="3" spans="2:17" ht="16" thickBot="1" x14ac:dyDescent="0.4">
      <c r="Q3" s="74" t="s">
        <v>5</v>
      </c>
    </row>
    <row r="4" spans="2:17" ht="31.5" thickBot="1" x14ac:dyDescent="0.4">
      <c r="B4" s="75" t="s">
        <v>15</v>
      </c>
      <c r="C4" s="76" t="s">
        <v>162</v>
      </c>
      <c r="D4" s="77" t="s">
        <v>16</v>
      </c>
      <c r="E4" s="78" t="s">
        <v>11</v>
      </c>
      <c r="F4" s="77" t="s">
        <v>22</v>
      </c>
      <c r="G4" s="79" t="s">
        <v>161</v>
      </c>
      <c r="H4" s="80" t="s">
        <v>480</v>
      </c>
      <c r="I4" s="81" t="s">
        <v>23</v>
      </c>
      <c r="J4" s="81" t="s">
        <v>163</v>
      </c>
      <c r="K4" s="81" t="s">
        <v>24</v>
      </c>
      <c r="L4" s="82" t="s">
        <v>25</v>
      </c>
      <c r="M4" s="81" t="s">
        <v>26</v>
      </c>
      <c r="N4" s="77" t="s">
        <v>8</v>
      </c>
      <c r="O4" s="76" t="s">
        <v>210</v>
      </c>
      <c r="Q4" s="83">
        <f>SUM(L5:L222)</f>
        <v>24141</v>
      </c>
    </row>
    <row r="5" spans="2:17" ht="31" x14ac:dyDescent="0.35">
      <c r="B5" s="84">
        <f>IF(Table1[[#This Row],[TANGGAL]]="","",ROW(N1))</f>
        <v>1</v>
      </c>
      <c r="C5" s="85">
        <v>46023</v>
      </c>
      <c r="D5" s="86" t="s">
        <v>346</v>
      </c>
      <c r="E5" s="52" t="str">
        <f>INDEX(Table5[KATEGORI PROGRAM],MATCH(Table1[[#This Row],[NAMA PROGRAM]],Table5[NAMA PROGRAM],0))</f>
        <v>Respon Bencana (Psikososial)</v>
      </c>
      <c r="F5" s="43" t="s">
        <v>402</v>
      </c>
      <c r="G5" s="87" t="s">
        <v>403</v>
      </c>
      <c r="H5" s="53" t="s">
        <v>339</v>
      </c>
      <c r="I5" s="53" t="str">
        <f>INDEX(Table2[Kecamatan],MATCH(Table1[[#This Row],[KELURAHAN / DESA]],Table2[Kelurahan],0))</f>
        <v>Karang baru</v>
      </c>
      <c r="J5" s="53" t="str">
        <f>INDEX(Table2[Kabupaten/Kota],MATCH(Table1[[#This Row],[KECAMATAN]],Table2[Kecamatan],0))</f>
        <v>Aceh Tamiang</v>
      </c>
      <c r="K5" s="86" t="str">
        <f>INDEX(Table2[Provinsi],MATCH(Table1[[#This Row],[KAB./KOTA]],Table2[Kabupaten/Kota],0))</f>
        <v>Nangroe Aceh Darussalam</v>
      </c>
      <c r="L5" s="44">
        <v>50</v>
      </c>
      <c r="M5" s="53" t="s">
        <v>318</v>
      </c>
      <c r="N5" s="53" t="s">
        <v>400</v>
      </c>
      <c r="O5" s="66" t="s">
        <v>225</v>
      </c>
    </row>
    <row r="6" spans="2:17" ht="31" x14ac:dyDescent="0.35">
      <c r="B6" s="84">
        <f>IF(Table1[[#This Row],[TANGGAL]]="","",ROW(N2))</f>
        <v>2</v>
      </c>
      <c r="C6" s="85">
        <v>46023</v>
      </c>
      <c r="D6" s="86" t="s">
        <v>261</v>
      </c>
      <c r="E6" s="52" t="str">
        <f>INDEX(Table5[KATEGORI PROGRAM],MATCH(Table1[[#This Row],[NAMA PROGRAM]],Table5[NAMA PROGRAM],0))</f>
        <v>Respon Bencana (Psikososial)</v>
      </c>
      <c r="F6" s="43" t="s">
        <v>402</v>
      </c>
      <c r="G6" s="87" t="s">
        <v>403</v>
      </c>
      <c r="H6" s="53" t="s">
        <v>339</v>
      </c>
      <c r="I6" s="53" t="str">
        <f>INDEX(Table2[Kecamatan],MATCH(Table1[[#This Row],[KELURAHAN / DESA]],Table2[Kelurahan],0))</f>
        <v>Karang baru</v>
      </c>
      <c r="J6" s="53" t="str">
        <f>INDEX(Table2[Kabupaten/Kota],MATCH(Table1[[#This Row],[KECAMATAN]],Table2[Kecamatan],0))</f>
        <v>Aceh Tamiang</v>
      </c>
      <c r="K6" s="86" t="str">
        <f>INDEX(Table2[Provinsi],MATCH(Table1[[#This Row],[KAB./KOTA]],Table2[Kabupaten/Kota],0))</f>
        <v>Nangroe Aceh Darussalam</v>
      </c>
      <c r="L6" s="44">
        <v>50</v>
      </c>
      <c r="M6" s="53" t="s">
        <v>9</v>
      </c>
      <c r="N6" s="53" t="s">
        <v>400</v>
      </c>
      <c r="O6" s="66" t="s">
        <v>225</v>
      </c>
    </row>
    <row r="7" spans="2:17" ht="31" x14ac:dyDescent="0.35">
      <c r="B7" s="84">
        <f>IF(Table1[[#This Row],[TANGGAL]]="","",ROW(N3))</f>
        <v>3</v>
      </c>
      <c r="C7" s="85">
        <v>46023</v>
      </c>
      <c r="D7" s="86" t="s">
        <v>263</v>
      </c>
      <c r="E7" s="52" t="str">
        <f>INDEX(Table5[KATEGORI PROGRAM],MATCH(Table1[[#This Row],[NAMA PROGRAM]],Table5[NAMA PROGRAM],0))</f>
        <v>Respon Bencana (Pangan)</v>
      </c>
      <c r="F7" s="43" t="s">
        <v>402</v>
      </c>
      <c r="G7" s="87" t="s">
        <v>403</v>
      </c>
      <c r="H7" s="53" t="s">
        <v>339</v>
      </c>
      <c r="I7" s="53" t="str">
        <f>INDEX(Table2[Kecamatan],MATCH(Table1[[#This Row],[KELURAHAN / DESA]],Table2[Kelurahan],0))</f>
        <v>Karang baru</v>
      </c>
      <c r="J7" s="53" t="str">
        <f>INDEX(Table2[Kabupaten/Kota],MATCH(Table1[[#This Row],[KECAMATAN]],Table2[Kecamatan],0))</f>
        <v>Aceh Tamiang</v>
      </c>
      <c r="K7" s="86" t="str">
        <f>INDEX(Table2[Provinsi],MATCH(Table1[[#This Row],[KAB./KOTA]],Table2[Kabupaten/Kota],0))</f>
        <v>Nangroe Aceh Darussalam</v>
      </c>
      <c r="L7" s="44">
        <v>150</v>
      </c>
      <c r="M7" s="53" t="s">
        <v>394</v>
      </c>
      <c r="N7" s="53" t="s">
        <v>400</v>
      </c>
      <c r="O7" s="66" t="s">
        <v>225</v>
      </c>
    </row>
    <row r="8" spans="2:17" ht="31" x14ac:dyDescent="0.35">
      <c r="B8" s="84">
        <f>IF(Table1[[#This Row],[TANGGAL]]="","",ROW(N4))</f>
        <v>4</v>
      </c>
      <c r="C8" s="85">
        <v>46023</v>
      </c>
      <c r="D8" s="86" t="s">
        <v>397</v>
      </c>
      <c r="E8" s="52" t="str">
        <f>INDEX(Table5[KATEGORI PROGRAM],MATCH(Table1[[#This Row],[NAMA PROGRAM]],Table5[NAMA PROGRAM],0))</f>
        <v>Respon Bencana (Recovery)</v>
      </c>
      <c r="F8" s="43" t="s">
        <v>401</v>
      </c>
      <c r="G8" s="87" t="s">
        <v>398</v>
      </c>
      <c r="H8" s="53" t="s">
        <v>328</v>
      </c>
      <c r="I8" s="53" t="str">
        <f>INDEX(Table2[Kecamatan],MATCH(Table1[[#This Row],[KELURAHAN / DESA]],Table2[Kelurahan],0))</f>
        <v>Rantau</v>
      </c>
      <c r="J8" s="53" t="str">
        <f>INDEX(Table2[Kabupaten/Kota],MATCH(Table1[[#This Row],[KECAMATAN]],Table2[Kecamatan],0))</f>
        <v>Aceh Tamiang</v>
      </c>
      <c r="K8" s="86" t="str">
        <f>INDEX(Table2[Provinsi],MATCH(Table1[[#This Row],[KAB./KOTA]],Table2[Kabupaten/Kota],0))</f>
        <v>Nangroe Aceh Darussalam</v>
      </c>
      <c r="L8" s="44">
        <v>100</v>
      </c>
      <c r="M8" s="53" t="s">
        <v>399</v>
      </c>
      <c r="N8" s="53" t="s">
        <v>400</v>
      </c>
      <c r="O8" s="66" t="s">
        <v>225</v>
      </c>
    </row>
    <row r="9" spans="2:17" ht="31" x14ac:dyDescent="0.35">
      <c r="B9" s="84">
        <f>IF(Table1[[#This Row],[TANGGAL]]="","",ROW(N5))</f>
        <v>5</v>
      </c>
      <c r="C9" s="85">
        <v>46024</v>
      </c>
      <c r="D9" s="86" t="s">
        <v>404</v>
      </c>
      <c r="E9" s="52" t="str">
        <f>INDEX(Table5[KATEGORI PROGRAM],MATCH(Table1[[#This Row],[NAMA PROGRAM]],Table5[NAMA PROGRAM],0))</f>
        <v>Respon Bencana (Recovery)</v>
      </c>
      <c r="F9" s="43" t="s">
        <v>405</v>
      </c>
      <c r="G9" s="87" t="s">
        <v>408</v>
      </c>
      <c r="H9" s="53" t="s">
        <v>406</v>
      </c>
      <c r="I9" s="53" t="str">
        <f>INDEX(Table2[Kecamatan],MATCH(Table1[[#This Row],[KELURAHAN / DESA]],Table2[Kelurahan],0))</f>
        <v>Sekerak</v>
      </c>
      <c r="J9" s="53" t="str">
        <f>INDEX(Table2[Kabupaten/Kota],MATCH(Table1[[#This Row],[KECAMATAN]],Table2[Kecamatan],0))</f>
        <v>Aceh Tamiang</v>
      </c>
      <c r="K9" s="86" t="str">
        <f>INDEX(Table2[Provinsi],MATCH(Table1[[#This Row],[KAB./KOTA]],Table2[Kabupaten/Kota],0))</f>
        <v>Nangroe Aceh Darussalam</v>
      </c>
      <c r="L9" s="44">
        <v>370</v>
      </c>
      <c r="M9" s="53" t="s">
        <v>409</v>
      </c>
      <c r="N9" s="53" t="s">
        <v>400</v>
      </c>
      <c r="O9" s="66" t="s">
        <v>225</v>
      </c>
    </row>
    <row r="10" spans="2:17" ht="29" x14ac:dyDescent="0.35">
      <c r="B10" s="84">
        <f>IF(Table1[[#This Row],[TANGGAL]]="","",ROW(N6))</f>
        <v>6</v>
      </c>
      <c r="C10" s="85">
        <v>46024</v>
      </c>
      <c r="D10" s="86" t="s">
        <v>9</v>
      </c>
      <c r="E10" s="52" t="str">
        <f>INDEX(Table5[KATEGORI PROGRAM],MATCH(Table1[[#This Row],[NAMA PROGRAM]],Table5[NAMA PROGRAM],0))</f>
        <v>Pangan</v>
      </c>
      <c r="F10" s="43" t="s">
        <v>369</v>
      </c>
      <c r="G10" s="87" t="s">
        <v>370</v>
      </c>
      <c r="H10" s="53" t="s">
        <v>40</v>
      </c>
      <c r="I10" s="53" t="str">
        <f>INDEX(Table2[Kecamatan],MATCH(Table1[[#This Row],[KELURAHAN / DESA]],Table2[Kelurahan],0))</f>
        <v>Bukit Kecil</v>
      </c>
      <c r="J10" s="53" t="str">
        <f>INDEX(Table2[Kabupaten/Kota],MATCH(Table1[[#This Row],[KECAMATAN]],Table2[Kecamatan],0))</f>
        <v>Palembang</v>
      </c>
      <c r="K10" s="86" t="str">
        <f>INDEX(Table2[Provinsi],MATCH(Table1[[#This Row],[KAB./KOTA]],Table2[Kabupaten/Kota],0))</f>
        <v>Sumatera Selatan</v>
      </c>
      <c r="L10" s="44">
        <v>220</v>
      </c>
      <c r="M10" s="53">
        <v>15</v>
      </c>
      <c r="N10" s="53" t="s">
        <v>308</v>
      </c>
      <c r="O10" s="66" t="s">
        <v>217</v>
      </c>
    </row>
    <row r="11" spans="2:17" ht="29" x14ac:dyDescent="0.35">
      <c r="B11" s="84">
        <f>IF(Table1[[#This Row],[TANGGAL]]="","",ROW(N7))</f>
        <v>7</v>
      </c>
      <c r="C11" s="85">
        <v>46024</v>
      </c>
      <c r="D11" s="86" t="s">
        <v>0</v>
      </c>
      <c r="E11" s="52" t="str">
        <f>INDEX(Table5[KATEGORI PROGRAM],MATCH(Table1[[#This Row],[NAMA PROGRAM]],Table5[NAMA PROGRAM],0))</f>
        <v>Pangan</v>
      </c>
      <c r="F11" s="43" t="s">
        <v>369</v>
      </c>
      <c r="G11" s="87" t="s">
        <v>370</v>
      </c>
      <c r="H11" s="53" t="s">
        <v>40</v>
      </c>
      <c r="I11" s="53" t="str">
        <f>INDEX(Table2[Kecamatan],MATCH(Table1[[#This Row],[KELURAHAN / DESA]],Table2[Kelurahan],0))</f>
        <v>Bukit Kecil</v>
      </c>
      <c r="J11" s="53" t="str">
        <f>INDEX(Table2[Kabupaten/Kota],MATCH(Table1[[#This Row],[KECAMATAN]],Table2[Kecamatan],0))</f>
        <v>Palembang</v>
      </c>
      <c r="K11" s="86" t="str">
        <f>INDEX(Table2[Provinsi],MATCH(Table1[[#This Row],[KAB./KOTA]],Table2[Kabupaten/Kota],0))</f>
        <v>Sumatera Selatan</v>
      </c>
      <c r="L11" s="44">
        <v>200</v>
      </c>
      <c r="M11" s="53" t="s">
        <v>371</v>
      </c>
      <c r="N11" s="53" t="s">
        <v>308</v>
      </c>
      <c r="O11" s="66" t="s">
        <v>217</v>
      </c>
    </row>
    <row r="12" spans="2:17" ht="31" x14ac:dyDescent="0.35">
      <c r="B12" s="84">
        <f>IF(Table1[[#This Row],[TANGGAL]]="","",ROW(N8))</f>
        <v>8</v>
      </c>
      <c r="C12" s="85">
        <v>46025</v>
      </c>
      <c r="D12" s="86" t="s">
        <v>332</v>
      </c>
      <c r="E12" s="52" t="str">
        <f>INDEX(Table5[KATEGORI PROGRAM],MATCH(Table1[[#This Row],[NAMA PROGRAM]],Table5[NAMA PROGRAM],0))</f>
        <v>Respon Bencana (Pangan)</v>
      </c>
      <c r="F12" s="43" t="s">
        <v>411</v>
      </c>
      <c r="G12" s="87" t="s">
        <v>412</v>
      </c>
      <c r="H12" s="53" t="s">
        <v>410</v>
      </c>
      <c r="I12" s="53" t="str">
        <f>INDEX(Table2[Kecamatan],MATCH(Table1[[#This Row],[KELURAHAN / DESA]],Table2[Kelurahan],0))</f>
        <v>Rantau</v>
      </c>
      <c r="J12" s="53" t="str">
        <f>INDEX(Table2[Kabupaten/Kota],MATCH(Table1[[#This Row],[KECAMATAN]],Table2[Kecamatan],0))</f>
        <v>Aceh Tamiang</v>
      </c>
      <c r="K12" s="86" t="str">
        <f>INDEX(Table2[Provinsi],MATCH(Table1[[#This Row],[KAB./KOTA]],Table2[Kabupaten/Kota],0))</f>
        <v>Nangroe Aceh Darussalam</v>
      </c>
      <c r="L12" s="44">
        <v>2650</v>
      </c>
      <c r="M12" s="53" t="s">
        <v>333</v>
      </c>
      <c r="N12" s="53" t="s">
        <v>400</v>
      </c>
      <c r="O12" s="66" t="s">
        <v>225</v>
      </c>
    </row>
    <row r="13" spans="2:17" ht="31" x14ac:dyDescent="0.35">
      <c r="B13" s="84">
        <f>IF(Table1[[#This Row],[TANGGAL]]="","",ROW(N9))</f>
        <v>9</v>
      </c>
      <c r="C13" s="85">
        <v>46025</v>
      </c>
      <c r="D13" s="86" t="s">
        <v>327</v>
      </c>
      <c r="E13" s="52" t="str">
        <f>INDEX(Table5[KATEGORI PROGRAM],MATCH(Table1[[#This Row],[NAMA PROGRAM]],Table5[NAMA PROGRAM],0))</f>
        <v>Respon Bencana (Recovery)</v>
      </c>
      <c r="F13" s="43" t="s">
        <v>411</v>
      </c>
      <c r="G13" s="87" t="s">
        <v>412</v>
      </c>
      <c r="H13" s="53" t="s">
        <v>410</v>
      </c>
      <c r="I13" s="53" t="str">
        <f>INDEX(Table2[Kecamatan],MATCH(Table1[[#This Row],[KELURAHAN / DESA]],Table2[Kelurahan],0))</f>
        <v>Rantau</v>
      </c>
      <c r="J13" s="53" t="str">
        <f>INDEX(Table2[Kabupaten/Kota],MATCH(Table1[[#This Row],[KECAMATAN]],Table2[Kecamatan],0))</f>
        <v>Aceh Tamiang</v>
      </c>
      <c r="K13" s="86" t="str">
        <f>INDEX(Table2[Provinsi],MATCH(Table1[[#This Row],[KAB./KOTA]],Table2[Kabupaten/Kota],0))</f>
        <v>Nangroe Aceh Darussalam</v>
      </c>
      <c r="L13" s="44">
        <v>130</v>
      </c>
      <c r="M13" s="53" t="s">
        <v>292</v>
      </c>
      <c r="N13" s="53" t="s">
        <v>400</v>
      </c>
      <c r="O13" s="66" t="s">
        <v>225</v>
      </c>
    </row>
    <row r="14" spans="2:17" ht="31" x14ac:dyDescent="0.35">
      <c r="B14" s="84">
        <f>IF(Table1[[#This Row],[TANGGAL]]="","",ROW(N10))</f>
        <v>10</v>
      </c>
      <c r="C14" s="85">
        <v>46025</v>
      </c>
      <c r="D14" s="86" t="s">
        <v>297</v>
      </c>
      <c r="E14" s="52" t="str">
        <f>INDEX(Table5[KATEGORI PROGRAM],MATCH(Table1[[#This Row],[NAMA PROGRAM]],Table5[NAMA PROGRAM],0))</f>
        <v>Respon Bencana (Bantuan Kesehatan)</v>
      </c>
      <c r="F14" s="43" t="s">
        <v>413</v>
      </c>
      <c r="G14" s="87" t="s">
        <v>414</v>
      </c>
      <c r="H14" s="53" t="s">
        <v>319</v>
      </c>
      <c r="I14" s="53" t="str">
        <f>INDEX(Table2[Kecamatan],MATCH(Table1[[#This Row],[KELURAHAN / DESA]],Table2[Kelurahan],0))</f>
        <v>Rantau</v>
      </c>
      <c r="J14" s="53" t="str">
        <f>INDEX(Table2[Kabupaten/Kota],MATCH(Table1[[#This Row],[KECAMATAN]],Table2[Kecamatan],0))</f>
        <v>Aceh Tamiang</v>
      </c>
      <c r="K14" s="86" t="str">
        <f>INDEX(Table2[Provinsi],MATCH(Table1[[#This Row],[KAB./KOTA]],Table2[Kabupaten/Kota],0))</f>
        <v>Nangroe Aceh Darussalam</v>
      </c>
      <c r="L14" s="44">
        <v>30</v>
      </c>
      <c r="M14" s="53" t="s">
        <v>415</v>
      </c>
      <c r="N14" s="53" t="s">
        <v>400</v>
      </c>
      <c r="O14" s="66" t="s">
        <v>225</v>
      </c>
    </row>
    <row r="15" spans="2:17" ht="31" x14ac:dyDescent="0.35">
      <c r="B15" s="84">
        <f>IF(Table1[[#This Row],[TANGGAL]]="","",ROW(N11))</f>
        <v>11</v>
      </c>
      <c r="C15" s="85">
        <v>46025</v>
      </c>
      <c r="D15" s="86" t="s">
        <v>297</v>
      </c>
      <c r="E15" s="52" t="str">
        <f>INDEX(Table5[KATEGORI PROGRAM],MATCH(Table1[[#This Row],[NAMA PROGRAM]],Table5[NAMA PROGRAM],0))</f>
        <v>Respon Bencana (Bantuan Kesehatan)</v>
      </c>
      <c r="F15" s="43" t="s">
        <v>419</v>
      </c>
      <c r="G15" s="87" t="s">
        <v>422</v>
      </c>
      <c r="H15" s="53" t="s">
        <v>426</v>
      </c>
      <c r="I15" s="53" t="str">
        <f>INDEX(Table2[Kecamatan],MATCH(Table1[[#This Row],[KELURAHAN / DESA]],Table2[Kelurahan],0))</f>
        <v>Karang baru</v>
      </c>
      <c r="J15" s="53" t="str">
        <f>INDEX(Table2[Kabupaten/Kota],MATCH(Table1[[#This Row],[KECAMATAN]],Table2[Kecamatan],0))</f>
        <v>Aceh Tamiang</v>
      </c>
      <c r="K15" s="86" t="str">
        <f>INDEX(Table2[Provinsi],MATCH(Table1[[#This Row],[KAB./KOTA]],Table2[Kabupaten/Kota],0))</f>
        <v>Nangroe Aceh Darussalam</v>
      </c>
      <c r="L15" s="44">
        <v>80</v>
      </c>
      <c r="M15" s="53" t="s">
        <v>415</v>
      </c>
      <c r="N15" s="53" t="s">
        <v>400</v>
      </c>
      <c r="O15" s="66" t="s">
        <v>225</v>
      </c>
    </row>
    <row r="16" spans="2:17" ht="31" x14ac:dyDescent="0.35">
      <c r="B16" s="84">
        <f>IF(Table1[[#This Row],[TANGGAL]]="","",ROW(N12))</f>
        <v>12</v>
      </c>
      <c r="C16" s="85">
        <v>46025</v>
      </c>
      <c r="D16" s="86" t="s">
        <v>346</v>
      </c>
      <c r="E16" s="52" t="str">
        <f>INDEX(Table5[KATEGORI PROGRAM],MATCH(Table1[[#This Row],[NAMA PROGRAM]],Table5[NAMA PROGRAM],0))</f>
        <v>Respon Bencana (Psikososial)</v>
      </c>
      <c r="F16" s="43" t="s">
        <v>416</v>
      </c>
      <c r="G16" s="87" t="s">
        <v>418</v>
      </c>
      <c r="H16" s="53" t="s">
        <v>417</v>
      </c>
      <c r="I16" s="53" t="str">
        <f>INDEX(Table2[Kecamatan],MATCH(Table1[[#This Row],[KELURAHAN / DESA]],Table2[Kelurahan],0))</f>
        <v>Karang baru</v>
      </c>
      <c r="J16" s="53" t="str">
        <f>INDEX(Table2[Kabupaten/Kota],MATCH(Table1[[#This Row],[KECAMATAN]],Table2[Kecamatan],0))</f>
        <v>Aceh Tamiang</v>
      </c>
      <c r="K16" s="86" t="str">
        <f>INDEX(Table2[Provinsi],MATCH(Table1[[#This Row],[KAB./KOTA]],Table2[Kabupaten/Kota],0))</f>
        <v>Nangroe Aceh Darussalam</v>
      </c>
      <c r="L16" s="44">
        <v>43</v>
      </c>
      <c r="M16" s="53" t="s">
        <v>318</v>
      </c>
      <c r="N16" s="53" t="s">
        <v>400</v>
      </c>
      <c r="O16" s="66" t="s">
        <v>225</v>
      </c>
    </row>
    <row r="17" spans="2:17" ht="31" x14ac:dyDescent="0.35">
      <c r="B17" s="84">
        <f>IF(Table1[[#This Row],[TANGGAL]]="","",ROW(N13))</f>
        <v>13</v>
      </c>
      <c r="C17" s="85">
        <v>46025</v>
      </c>
      <c r="D17" s="86" t="s">
        <v>261</v>
      </c>
      <c r="E17" s="52" t="str">
        <f>INDEX(Table5[KATEGORI PROGRAM],MATCH(Table1[[#This Row],[NAMA PROGRAM]],Table5[NAMA PROGRAM],0))</f>
        <v>Respon Bencana (Psikososial)</v>
      </c>
      <c r="F17" s="43" t="s">
        <v>413</v>
      </c>
      <c r="G17" s="87" t="s">
        <v>414</v>
      </c>
      <c r="H17" s="53" t="s">
        <v>319</v>
      </c>
      <c r="I17" s="53" t="str">
        <f>INDEX(Table2[Kecamatan],MATCH(Table1[[#This Row],[KELURAHAN / DESA]],Table2[Kelurahan],0))</f>
        <v>Rantau</v>
      </c>
      <c r="J17" s="53" t="str">
        <f>INDEX(Table2[Kabupaten/Kota],MATCH(Table1[[#This Row],[KECAMATAN]],Table2[Kecamatan],0))</f>
        <v>Aceh Tamiang</v>
      </c>
      <c r="K17" s="86" t="str">
        <f>INDEX(Table2[Provinsi],MATCH(Table1[[#This Row],[KAB./KOTA]],Table2[Kabupaten/Kota],0))</f>
        <v>Nangroe Aceh Darussalam</v>
      </c>
      <c r="L17" s="44">
        <v>50</v>
      </c>
      <c r="M17" s="53" t="s">
        <v>9</v>
      </c>
      <c r="N17" s="53" t="s">
        <v>400</v>
      </c>
      <c r="O17" s="66" t="s">
        <v>225</v>
      </c>
    </row>
    <row r="18" spans="2:17" ht="31" x14ac:dyDescent="0.35">
      <c r="B18" s="84">
        <f>IF(Table1[[#This Row],[TANGGAL]]="","",ROW(N14))</f>
        <v>14</v>
      </c>
      <c r="C18" s="85">
        <v>46025</v>
      </c>
      <c r="D18" s="86" t="s">
        <v>421</v>
      </c>
      <c r="E18" s="52" t="str">
        <f>INDEX(Table5[KATEGORI PROGRAM],MATCH(Table1[[#This Row],[NAMA PROGRAM]],Table5[NAMA PROGRAM],0))</f>
        <v>Respon Bencana (Recovery)</v>
      </c>
      <c r="F18" s="43" t="s">
        <v>420</v>
      </c>
      <c r="G18" s="87" t="s">
        <v>423</v>
      </c>
      <c r="H18" s="53" t="s">
        <v>424</v>
      </c>
      <c r="I18" s="53" t="str">
        <f>INDEX(Table2[Kecamatan],MATCH(Table1[[#This Row],[KELURAHAN / DESA]],Table2[Kelurahan],0))</f>
        <v>Tamiang Hulu</v>
      </c>
      <c r="J18" s="53" t="str">
        <f>INDEX(Table2[Kabupaten/Kota],MATCH(Table1[[#This Row],[KECAMATAN]],Table2[Kecamatan],0))</f>
        <v>Aceh Tamiang</v>
      </c>
      <c r="K18" s="86" t="str">
        <f>INDEX(Table2[Provinsi],MATCH(Table1[[#This Row],[KAB./KOTA]],Table2[Kabupaten/Kota],0))</f>
        <v>Nangroe Aceh Darussalam</v>
      </c>
      <c r="L18" s="44">
        <v>160</v>
      </c>
      <c r="M18" s="53" t="s">
        <v>427</v>
      </c>
      <c r="N18" s="53" t="s">
        <v>400</v>
      </c>
      <c r="O18" s="66" t="s">
        <v>225</v>
      </c>
    </row>
    <row r="19" spans="2:17" ht="31" x14ac:dyDescent="0.35">
      <c r="B19" s="84">
        <f>IF(Table1[[#This Row],[TANGGAL]]="","",ROW(N15))</f>
        <v>15</v>
      </c>
      <c r="C19" s="85">
        <v>46025</v>
      </c>
      <c r="D19" s="86" t="s">
        <v>261</v>
      </c>
      <c r="E19" s="52" t="str">
        <f>INDEX(Table5[KATEGORI PROGRAM],MATCH(Table1[[#This Row],[NAMA PROGRAM]],Table5[NAMA PROGRAM],0))</f>
        <v>Respon Bencana (Psikososial)</v>
      </c>
      <c r="F19" s="43" t="s">
        <v>416</v>
      </c>
      <c r="G19" s="87" t="s">
        <v>418</v>
      </c>
      <c r="H19" s="53" t="s">
        <v>417</v>
      </c>
      <c r="I19" s="53" t="str">
        <f>INDEX(Table2[Kecamatan],MATCH(Table1[[#This Row],[KELURAHAN / DESA]],Table2[Kelurahan],0))</f>
        <v>Karang baru</v>
      </c>
      <c r="J19" s="53" t="str">
        <f>INDEX(Table2[Kabupaten/Kota],MATCH(Table1[[#This Row],[KECAMATAN]],Table2[Kecamatan],0))</f>
        <v>Aceh Tamiang</v>
      </c>
      <c r="K19" s="86" t="str">
        <f>INDEX(Table2[Provinsi],MATCH(Table1[[#This Row],[KAB./KOTA]],Table2[Kabupaten/Kota],0))</f>
        <v>Nangroe Aceh Darussalam</v>
      </c>
      <c r="L19" s="44">
        <v>43</v>
      </c>
      <c r="M19" s="53" t="s">
        <v>9</v>
      </c>
      <c r="N19" s="53" t="s">
        <v>400</v>
      </c>
      <c r="O19" s="66" t="s">
        <v>225</v>
      </c>
    </row>
    <row r="20" spans="2:17" ht="31" x14ac:dyDescent="0.35">
      <c r="B20" s="84">
        <f>IF(Table1[[#This Row],[TANGGAL]]="","",ROW(N16))</f>
        <v>16</v>
      </c>
      <c r="C20" s="85">
        <v>46026</v>
      </c>
      <c r="D20" s="86" t="s">
        <v>320</v>
      </c>
      <c r="E20" s="52" t="str">
        <f>INDEX(Table5[KATEGORI PROGRAM],MATCH(Table1[[#This Row],[NAMA PROGRAM]],Table5[NAMA PROGRAM],0))</f>
        <v>Respon Bencana (Psikososial)</v>
      </c>
      <c r="F20" s="43" t="s">
        <v>438</v>
      </c>
      <c r="G20" s="87" t="s">
        <v>347</v>
      </c>
      <c r="H20" s="53" t="s">
        <v>336</v>
      </c>
      <c r="I20" s="53" t="str">
        <f>INDEX(Table2[Kecamatan],MATCH(Table1[[#This Row],[KELURAHAN / DESA]],Table2[Kelurahan],0))</f>
        <v>Karang baru</v>
      </c>
      <c r="J20" s="53" t="str">
        <f>INDEX(Table2[Kabupaten/Kota],MATCH(Table1[[#This Row],[KECAMATAN]],Table2[Kecamatan],0))</f>
        <v>Aceh Tamiang</v>
      </c>
      <c r="K20" s="86" t="str">
        <f>INDEX(Table2[Provinsi],MATCH(Table1[[#This Row],[KAB./KOTA]],Table2[Kabupaten/Kota],0))</f>
        <v>Nangroe Aceh Darussalam</v>
      </c>
      <c r="L20" s="44">
        <v>123</v>
      </c>
      <c r="M20" s="53" t="s">
        <v>305</v>
      </c>
      <c r="N20" s="53" t="s">
        <v>400</v>
      </c>
      <c r="O20" s="66" t="s">
        <v>225</v>
      </c>
    </row>
    <row r="21" spans="2:17" ht="31" x14ac:dyDescent="0.35">
      <c r="B21" s="84">
        <f>IF(Table1[[#This Row],[TANGGAL]]="","",ROW(N17))</f>
        <v>17</v>
      </c>
      <c r="C21" s="85">
        <v>46026</v>
      </c>
      <c r="D21" s="86" t="s">
        <v>327</v>
      </c>
      <c r="E21" s="52" t="str">
        <f>INDEX(Table5[KATEGORI PROGRAM],MATCH(Table1[[#This Row],[NAMA PROGRAM]],Table5[NAMA PROGRAM],0))</f>
        <v>Respon Bencana (Recovery)</v>
      </c>
      <c r="F21" s="43" t="s">
        <v>431</v>
      </c>
      <c r="G21" s="87" t="s">
        <v>428</v>
      </c>
      <c r="H21" s="53" t="s">
        <v>430</v>
      </c>
      <c r="I21" s="53" t="str">
        <f>INDEX(Table2[Kecamatan],MATCH(Table1[[#This Row],[KELURAHAN / DESA]],Table2[Kelurahan],0))</f>
        <v>Kejuruan Muda</v>
      </c>
      <c r="J21" s="53" t="str">
        <f>INDEX(Table2[Kabupaten/Kota],MATCH(Table1[[#This Row],[KECAMATAN]],Table2[Kecamatan],0))</f>
        <v>Aceh Tamiang</v>
      </c>
      <c r="K21" s="86" t="str">
        <f>INDEX(Table2[Provinsi],MATCH(Table1[[#This Row],[KAB./KOTA]],Table2[Kabupaten/Kota],0))</f>
        <v>Nangroe Aceh Darussalam</v>
      </c>
      <c r="L21" s="44">
        <v>48</v>
      </c>
      <c r="M21" s="53" t="s">
        <v>292</v>
      </c>
      <c r="N21" s="53" t="s">
        <v>400</v>
      </c>
      <c r="O21" s="66" t="s">
        <v>225</v>
      </c>
    </row>
    <row r="22" spans="2:17" ht="31" x14ac:dyDescent="0.35">
      <c r="B22" s="84">
        <f>IF(Table1[[#This Row],[TANGGAL]]="","",ROW(N18))</f>
        <v>18</v>
      </c>
      <c r="C22" s="85">
        <v>46026</v>
      </c>
      <c r="D22" s="86" t="s">
        <v>332</v>
      </c>
      <c r="E22" s="52" t="str">
        <f>INDEX(Table5[KATEGORI PROGRAM],MATCH(Table1[[#This Row],[NAMA PROGRAM]],Table5[NAMA PROGRAM],0))</f>
        <v>Respon Bencana (Pangan)</v>
      </c>
      <c r="F22" s="43" t="s">
        <v>438</v>
      </c>
      <c r="G22" s="87" t="s">
        <v>434</v>
      </c>
      <c r="H22" s="53" t="s">
        <v>336</v>
      </c>
      <c r="I22" s="53" t="str">
        <f>INDEX(Table2[Kecamatan],MATCH(Table1[[#This Row],[KELURAHAN / DESA]],Table2[Kelurahan],0))</f>
        <v>Karang baru</v>
      </c>
      <c r="J22" s="53" t="str">
        <f>INDEX(Table2[Kabupaten/Kota],MATCH(Table1[[#This Row],[KECAMATAN]],Table2[Kecamatan],0))</f>
        <v>Aceh Tamiang</v>
      </c>
      <c r="K22" s="86" t="str">
        <f>INDEX(Table2[Provinsi],MATCH(Table1[[#This Row],[KAB./KOTA]],Table2[Kabupaten/Kota],0))</f>
        <v>Nangroe Aceh Darussalam</v>
      </c>
      <c r="L22" s="44">
        <v>1418</v>
      </c>
      <c r="M22" s="53" t="s">
        <v>333</v>
      </c>
      <c r="N22" s="53" t="s">
        <v>400</v>
      </c>
      <c r="O22" s="66" t="s">
        <v>225</v>
      </c>
    </row>
    <row r="23" spans="2:17" ht="31" x14ac:dyDescent="0.35">
      <c r="B23" s="84">
        <f>IF(Table1[[#This Row],[TANGGAL]]="","",ROW(N19))</f>
        <v>19</v>
      </c>
      <c r="C23" s="85">
        <v>46026</v>
      </c>
      <c r="D23" s="86" t="s">
        <v>346</v>
      </c>
      <c r="E23" s="52" t="str">
        <f>INDEX(Table5[KATEGORI PROGRAM],MATCH(Table1[[#This Row],[NAMA PROGRAM]],Table5[NAMA PROGRAM],0))</f>
        <v>Respon Bencana (Psikososial)</v>
      </c>
      <c r="F23" s="43" t="s">
        <v>432</v>
      </c>
      <c r="G23" s="87" t="s">
        <v>429</v>
      </c>
      <c r="H23" s="53" t="s">
        <v>302</v>
      </c>
      <c r="I23" s="53" t="str">
        <f>INDEX(Table2[Kecamatan],MATCH(Table1[[#This Row],[KELURAHAN / DESA]],Table2[Kelurahan],0))</f>
        <v>Karang baru</v>
      </c>
      <c r="J23" s="53" t="str">
        <f>INDEX(Table2[Kabupaten/Kota],MATCH(Table1[[#This Row],[KECAMATAN]],Table2[Kecamatan],0))</f>
        <v>Aceh Tamiang</v>
      </c>
      <c r="K23" s="86" t="str">
        <f>INDEX(Table2[Provinsi],MATCH(Table1[[#This Row],[KAB./KOTA]],Table2[Kabupaten/Kota],0))</f>
        <v>Nangroe Aceh Darussalam</v>
      </c>
      <c r="L23" s="44">
        <v>28</v>
      </c>
      <c r="M23" s="53" t="s">
        <v>318</v>
      </c>
      <c r="N23" s="53" t="s">
        <v>400</v>
      </c>
      <c r="O23" s="66" t="s">
        <v>225</v>
      </c>
    </row>
    <row r="24" spans="2:17" ht="31" x14ac:dyDescent="0.35">
      <c r="B24" s="84">
        <f>IF(Table1[[#This Row],[TANGGAL]]="","",ROW(N20))</f>
        <v>20</v>
      </c>
      <c r="C24" s="85">
        <v>46026</v>
      </c>
      <c r="D24" s="86" t="s">
        <v>327</v>
      </c>
      <c r="E24" s="52" t="str">
        <f>INDEX(Table5[KATEGORI PROGRAM],MATCH(Table1[[#This Row],[NAMA PROGRAM]],Table5[NAMA PROGRAM],0))</f>
        <v>Respon Bencana (Recovery)</v>
      </c>
      <c r="F24" s="43" t="s">
        <v>431</v>
      </c>
      <c r="G24" s="87" t="s">
        <v>428</v>
      </c>
      <c r="H24" s="53" t="s">
        <v>430</v>
      </c>
      <c r="I24" s="53" t="str">
        <f>INDEX(Table2[Kecamatan],MATCH(Table1[[#This Row],[KELURAHAN / DESA]],Table2[Kelurahan],0))</f>
        <v>Kejuruan Muda</v>
      </c>
      <c r="J24" s="53" t="str">
        <f>INDEX(Table2[Kabupaten/Kota],MATCH(Table1[[#This Row],[KECAMATAN]],Table2[Kecamatan],0))</f>
        <v>Aceh Tamiang</v>
      </c>
      <c r="K24" s="86" t="str">
        <f>INDEX(Table2[Provinsi],MATCH(Table1[[#This Row],[KAB./KOTA]],Table2[Kabupaten/Kota],0))</f>
        <v>Nangroe Aceh Darussalam</v>
      </c>
      <c r="L24" s="44">
        <v>37</v>
      </c>
      <c r="M24" s="53" t="s">
        <v>340</v>
      </c>
      <c r="N24" s="53" t="s">
        <v>400</v>
      </c>
      <c r="O24" s="66" t="s">
        <v>225</v>
      </c>
    </row>
    <row r="25" spans="2:17" ht="31" x14ac:dyDescent="0.35">
      <c r="B25" s="84">
        <f>IF(Table1[[#This Row],[TANGGAL]]="","",ROW(N21))</f>
        <v>21</v>
      </c>
      <c r="C25" s="85">
        <v>46026</v>
      </c>
      <c r="D25" s="86" t="s">
        <v>327</v>
      </c>
      <c r="E25" s="52" t="str">
        <f>INDEX(Table5[KATEGORI PROGRAM],MATCH(Table1[[#This Row],[NAMA PROGRAM]],Table5[NAMA PROGRAM],0))</f>
        <v>Respon Bencana (Recovery)</v>
      </c>
      <c r="F25" s="43" t="s">
        <v>438</v>
      </c>
      <c r="G25" s="87" t="s">
        <v>347</v>
      </c>
      <c r="H25" s="53" t="s">
        <v>336</v>
      </c>
      <c r="I25" s="53" t="str">
        <f>INDEX(Table2[Kecamatan],MATCH(Table1[[#This Row],[KELURAHAN / DESA]],Table2[Kelurahan],0))</f>
        <v>Karang baru</v>
      </c>
      <c r="J25" s="53" t="str">
        <f>INDEX(Table2[Kabupaten/Kota],MATCH(Table1[[#This Row],[KECAMATAN]],Table2[Kecamatan],0))</f>
        <v>Aceh Tamiang</v>
      </c>
      <c r="K25" s="86" t="str">
        <f>INDEX(Table2[Provinsi],MATCH(Table1[[#This Row],[KAB./KOTA]],Table2[Kabupaten/Kota],0))</f>
        <v>Nangroe Aceh Darussalam</v>
      </c>
      <c r="L25" s="44">
        <v>165</v>
      </c>
      <c r="M25" s="53" t="s">
        <v>292</v>
      </c>
      <c r="N25" s="53" t="s">
        <v>400</v>
      </c>
      <c r="O25" s="66" t="s">
        <v>225</v>
      </c>
    </row>
    <row r="26" spans="2:17" ht="31" x14ac:dyDescent="0.35">
      <c r="B26" s="84">
        <f>IF(Table1[[#This Row],[TANGGAL]]="","",ROW(N22))</f>
        <v>22</v>
      </c>
      <c r="C26" s="85">
        <v>46026</v>
      </c>
      <c r="D26" s="86" t="s">
        <v>276</v>
      </c>
      <c r="E26" s="52" t="str">
        <f>INDEX(Table5[KATEGORI PROGRAM],MATCH(Table1[[#This Row],[NAMA PROGRAM]],Table5[NAMA PROGRAM],0))</f>
        <v>Respon Bencana (Bantuan Kesehatan)</v>
      </c>
      <c r="F26" s="43" t="s">
        <v>432</v>
      </c>
      <c r="G26" s="87" t="s">
        <v>429</v>
      </c>
      <c r="H26" s="53" t="s">
        <v>302</v>
      </c>
      <c r="I26" s="53" t="str">
        <f>INDEX(Table2[Kecamatan],MATCH(Table1[[#This Row],[KELURAHAN / DESA]],Table2[Kelurahan],0))</f>
        <v>Karang baru</v>
      </c>
      <c r="J26" s="53" t="str">
        <f>INDEX(Table2[Kabupaten/Kota],MATCH(Table1[[#This Row],[KECAMATAN]],Table2[Kecamatan],0))</f>
        <v>Aceh Tamiang</v>
      </c>
      <c r="K26" s="86" t="str">
        <f>INDEX(Table2[Provinsi],MATCH(Table1[[#This Row],[KAB./KOTA]],Table2[Kabupaten/Kota],0))</f>
        <v>Nangroe Aceh Darussalam</v>
      </c>
      <c r="L26" s="44">
        <v>28</v>
      </c>
      <c r="M26" s="53" t="s">
        <v>286</v>
      </c>
      <c r="N26" s="53" t="s">
        <v>400</v>
      </c>
      <c r="O26" s="66" t="s">
        <v>225</v>
      </c>
    </row>
    <row r="27" spans="2:17" ht="31" x14ac:dyDescent="0.35">
      <c r="B27" s="84">
        <f>IF(Table1[[#This Row],[TANGGAL]]="","",ROW(N23))</f>
        <v>23</v>
      </c>
      <c r="C27" s="85">
        <v>46026</v>
      </c>
      <c r="D27" s="86" t="s">
        <v>436</v>
      </c>
      <c r="E27" s="52" t="str">
        <f>INDEX(Table5[KATEGORI PROGRAM],MATCH(Table1[[#This Row],[NAMA PROGRAM]],Table5[NAMA PROGRAM],0))</f>
        <v>Respon Bencana (Recovery)</v>
      </c>
      <c r="F27" s="43" t="s">
        <v>435</v>
      </c>
      <c r="G27" s="87" t="s">
        <v>433</v>
      </c>
      <c r="H27" s="53" t="s">
        <v>410</v>
      </c>
      <c r="I27" s="53" t="str">
        <f>INDEX(Table2[Kecamatan],MATCH(Table1[[#This Row],[KELURAHAN / DESA]],Table2[Kelurahan],0))</f>
        <v>Rantau</v>
      </c>
      <c r="J27" s="53" t="str">
        <f>INDEX(Table2[Kabupaten/Kota],MATCH(Table1[[#This Row],[KECAMATAN]],Table2[Kecamatan],0))</f>
        <v>Aceh Tamiang</v>
      </c>
      <c r="K27" s="86" t="str">
        <f>INDEX(Table2[Provinsi],MATCH(Table1[[#This Row],[KAB./KOTA]],Table2[Kabupaten/Kota],0))</f>
        <v>Nangroe Aceh Darussalam</v>
      </c>
      <c r="L27" s="44">
        <v>500</v>
      </c>
      <c r="M27" s="53" t="s">
        <v>437</v>
      </c>
      <c r="N27" s="53" t="s">
        <v>400</v>
      </c>
      <c r="O27" s="66" t="s">
        <v>225</v>
      </c>
    </row>
    <row r="28" spans="2:17" ht="31" x14ac:dyDescent="0.35">
      <c r="B28" s="84">
        <f>IF(Table1[[#This Row],[TANGGAL]]="","",ROW(N24))</f>
        <v>24</v>
      </c>
      <c r="C28" s="85">
        <v>46026</v>
      </c>
      <c r="D28" s="86" t="s">
        <v>261</v>
      </c>
      <c r="E28" s="52" t="str">
        <f>INDEX(Table5[KATEGORI PROGRAM],MATCH(Table1[[#This Row],[NAMA PROGRAM]],Table5[NAMA PROGRAM],0))</f>
        <v>Respon Bencana (Psikososial)</v>
      </c>
      <c r="F28" s="43" t="s">
        <v>431</v>
      </c>
      <c r="G28" s="87" t="s">
        <v>428</v>
      </c>
      <c r="H28" s="53" t="s">
        <v>430</v>
      </c>
      <c r="I28" s="53" t="str">
        <f>INDEX(Table2[Kecamatan],MATCH(Table1[[#This Row],[KELURAHAN / DESA]],Table2[Kelurahan],0))</f>
        <v>Kejuruan Muda</v>
      </c>
      <c r="J28" s="53" t="str">
        <f>INDEX(Table2[Kabupaten/Kota],MATCH(Table1[[#This Row],[KECAMATAN]],Table2[Kecamatan],0))</f>
        <v>Aceh Tamiang</v>
      </c>
      <c r="K28" s="86" t="str">
        <f>INDEX(Table2[Provinsi],MATCH(Table1[[#This Row],[KAB./KOTA]],Table2[Kabupaten/Kota],0))</f>
        <v>Nangroe Aceh Darussalam</v>
      </c>
      <c r="L28" s="44">
        <v>85</v>
      </c>
      <c r="M28" s="53" t="s">
        <v>9</v>
      </c>
      <c r="N28" s="53" t="s">
        <v>400</v>
      </c>
      <c r="O28" s="66" t="s">
        <v>225</v>
      </c>
    </row>
    <row r="29" spans="2:17" ht="29" x14ac:dyDescent="0.35">
      <c r="B29" s="84">
        <f>IF(Table1[[#This Row],[TANGGAL]]="","",ROW(N25))</f>
        <v>25</v>
      </c>
      <c r="C29" s="85">
        <v>46026</v>
      </c>
      <c r="D29" s="86" t="s">
        <v>3</v>
      </c>
      <c r="E29" s="52" t="str">
        <f>INDEX(Table5[KATEGORI PROGRAM],MATCH(Table1[[#This Row],[NAMA PROGRAM]],Table5[NAMA PROGRAM],0))</f>
        <v>Pendidikan</v>
      </c>
      <c r="F29" s="43" t="s">
        <v>373</v>
      </c>
      <c r="G29" s="87" t="s">
        <v>3</v>
      </c>
      <c r="H29" s="53" t="s">
        <v>82</v>
      </c>
      <c r="I29" s="53" t="str">
        <f>INDEX(Table2[Kecamatan],MATCH(Table1[[#This Row],[KELURAHAN / DESA]],Table2[Kelurahan],0))</f>
        <v>Jakabaring</v>
      </c>
      <c r="J29" s="53" t="str">
        <f>INDEX(Table2[Kabupaten/Kota],MATCH(Table1[[#This Row],[KECAMATAN]],Table2[Kecamatan],0))</f>
        <v>Palembang</v>
      </c>
      <c r="K29" s="86" t="str">
        <f>INDEX(Table2[Provinsi],MATCH(Table1[[#This Row],[KAB./KOTA]],Table2[Kabupaten/Kota],0))</f>
        <v>Sumatera Selatan</v>
      </c>
      <c r="L29" s="44">
        <v>23</v>
      </c>
      <c r="M29" s="53">
        <v>3</v>
      </c>
      <c r="N29" s="53" t="s">
        <v>249</v>
      </c>
      <c r="O29" s="66" t="s">
        <v>211</v>
      </c>
      <c r="Q29" s="1" t="s">
        <v>467</v>
      </c>
    </row>
    <row r="30" spans="2:17" ht="29" x14ac:dyDescent="0.35">
      <c r="B30" s="84">
        <f>IF(Table1[[#This Row],[TANGGAL]]="","",ROW(N26))</f>
        <v>26</v>
      </c>
      <c r="C30" s="85">
        <v>46026</v>
      </c>
      <c r="D30" s="86" t="s">
        <v>7</v>
      </c>
      <c r="E30" s="52" t="str">
        <f>INDEX(Table5[KATEGORI PROGRAM],MATCH(Table1[[#This Row],[NAMA PROGRAM]],Table5[NAMA PROGRAM],0))</f>
        <v>Pendidikan</v>
      </c>
      <c r="F30" s="43" t="s">
        <v>372</v>
      </c>
      <c r="G30" s="87" t="s">
        <v>7</v>
      </c>
      <c r="H30" s="53" t="s">
        <v>99</v>
      </c>
      <c r="I30" s="53" t="str">
        <f>INDEX(Table2[Kecamatan],MATCH(Table1[[#This Row],[KELURAHAN / DESA]],Table2[Kelurahan],0))</f>
        <v>Kertapati</v>
      </c>
      <c r="J30" s="53" t="str">
        <f>INDEX(Table2[Kabupaten/Kota],MATCH(Table1[[#This Row],[KECAMATAN]],Table2[Kecamatan],0))</f>
        <v>Palembang</v>
      </c>
      <c r="K30" s="86" t="str">
        <f>INDEX(Table2[Provinsi],MATCH(Table1[[#This Row],[KAB./KOTA]],Table2[Kabupaten/Kota],0))</f>
        <v>Sumatera Selatan</v>
      </c>
      <c r="L30" s="44">
        <v>27</v>
      </c>
      <c r="M30" s="53">
        <v>3</v>
      </c>
      <c r="N30" s="53" t="s">
        <v>243</v>
      </c>
      <c r="O30" s="66" t="s">
        <v>211</v>
      </c>
    </row>
    <row r="31" spans="2:17" ht="31" x14ac:dyDescent="0.35">
      <c r="B31" s="84">
        <f>IF(Table1[[#This Row],[TANGGAL]]="","",ROW(N27))</f>
        <v>27</v>
      </c>
      <c r="C31" s="85">
        <v>46027</v>
      </c>
      <c r="D31" s="86" t="s">
        <v>332</v>
      </c>
      <c r="E31" s="52" t="str">
        <f>INDEX(Table5[KATEGORI PROGRAM],MATCH(Table1[[#This Row],[NAMA PROGRAM]],Table5[NAMA PROGRAM],0))</f>
        <v>Respon Bencana (Pangan)</v>
      </c>
      <c r="F31" s="43" t="s">
        <v>439</v>
      </c>
      <c r="G31" s="87" t="s">
        <v>441</v>
      </c>
      <c r="H31" s="53" t="s">
        <v>443</v>
      </c>
      <c r="I31" s="53" t="str">
        <f>INDEX(Table2[Kecamatan],MATCH(Table1[[#This Row],[KELURAHAN / DESA]],Table2[Kelurahan],0))</f>
        <v>Serba Jadi</v>
      </c>
      <c r="J31" s="53" t="str">
        <f>INDEX(Table2[Kabupaten/Kota],MATCH(Table1[[#This Row],[KECAMATAN]],Table2[Kecamatan],0))</f>
        <v>Aceh Timur</v>
      </c>
      <c r="K31" s="86" t="str">
        <f>INDEX(Table2[Provinsi],MATCH(Table1[[#This Row],[KAB./KOTA]],Table2[Kabupaten/Kota],0))</f>
        <v>Nangroe Aceh Darussalam</v>
      </c>
      <c r="L31" s="44">
        <v>50</v>
      </c>
      <c r="M31" s="53" t="s">
        <v>333</v>
      </c>
      <c r="N31" s="53" t="s">
        <v>400</v>
      </c>
      <c r="O31" s="66" t="s">
        <v>225</v>
      </c>
    </row>
    <row r="32" spans="2:17" ht="31" x14ac:dyDescent="0.35">
      <c r="B32" s="84">
        <f>IF(Table1[[#This Row],[TANGGAL]]="","",ROW(N28))</f>
        <v>28</v>
      </c>
      <c r="C32" s="85">
        <v>46027</v>
      </c>
      <c r="D32" s="86" t="s">
        <v>276</v>
      </c>
      <c r="E32" s="52" t="str">
        <f>INDEX(Table5[KATEGORI PROGRAM],MATCH(Table1[[#This Row],[NAMA PROGRAM]],Table5[NAMA PROGRAM],0))</f>
        <v>Respon Bencana (Bantuan Kesehatan)</v>
      </c>
      <c r="F32" s="43" t="s">
        <v>439</v>
      </c>
      <c r="G32" s="87" t="s">
        <v>441</v>
      </c>
      <c r="H32" s="53" t="s">
        <v>443</v>
      </c>
      <c r="I32" s="53" t="str">
        <f>INDEX(Table2[Kecamatan],MATCH(Table1[[#This Row],[KELURAHAN / DESA]],Table2[Kelurahan],0))</f>
        <v>Serba Jadi</v>
      </c>
      <c r="J32" s="53" t="str">
        <f>INDEX(Table2[Kabupaten/Kota],MATCH(Table1[[#This Row],[KECAMATAN]],Table2[Kecamatan],0))</f>
        <v>Aceh Timur</v>
      </c>
      <c r="K32" s="86" t="str">
        <f>INDEX(Table2[Provinsi],MATCH(Table1[[#This Row],[KAB./KOTA]],Table2[Kabupaten/Kota],0))</f>
        <v>Nangroe Aceh Darussalam</v>
      </c>
      <c r="L32" s="44">
        <v>40</v>
      </c>
      <c r="M32" s="53" t="s">
        <v>452</v>
      </c>
      <c r="N32" s="53" t="s">
        <v>400</v>
      </c>
      <c r="O32" s="66" t="s">
        <v>225</v>
      </c>
    </row>
    <row r="33" spans="2:15" ht="31" x14ac:dyDescent="0.35">
      <c r="B33" s="84">
        <f>IF(Table1[[#This Row],[TANGGAL]]="","",ROW(N29))</f>
        <v>29</v>
      </c>
      <c r="C33" s="85">
        <v>46027</v>
      </c>
      <c r="D33" s="86" t="s">
        <v>276</v>
      </c>
      <c r="E33" s="52" t="str">
        <f>INDEX(Table5[KATEGORI PROGRAM],MATCH(Table1[[#This Row],[NAMA PROGRAM]],Table5[NAMA PROGRAM],0))</f>
        <v>Respon Bencana (Bantuan Kesehatan)</v>
      </c>
      <c r="F33" s="43" t="s">
        <v>440</v>
      </c>
      <c r="G33" s="87" t="s">
        <v>442</v>
      </c>
      <c r="H33" s="53" t="s">
        <v>446</v>
      </c>
      <c r="I33" s="53" t="str">
        <f>INDEX(Table2[Kecamatan],MATCH(Table1[[#This Row],[KELURAHAN / DESA]],Table2[Kelurahan],0))</f>
        <v>Serba Jadi</v>
      </c>
      <c r="J33" s="53" t="str">
        <f>INDEX(Table2[Kabupaten/Kota],MATCH(Table1[[#This Row],[KECAMATAN]],Table2[Kecamatan],0))</f>
        <v>Aceh Timur</v>
      </c>
      <c r="K33" s="86" t="str">
        <f>INDEX(Table2[Provinsi],MATCH(Table1[[#This Row],[KAB./KOTA]],Table2[Kabupaten/Kota],0))</f>
        <v>Nangroe Aceh Darussalam</v>
      </c>
      <c r="L33" s="44">
        <v>40</v>
      </c>
      <c r="M33" s="53" t="s">
        <v>452</v>
      </c>
      <c r="N33" s="53" t="s">
        <v>400</v>
      </c>
      <c r="O33" s="66" t="s">
        <v>225</v>
      </c>
    </row>
    <row r="34" spans="2:15" ht="31" x14ac:dyDescent="0.35">
      <c r="B34" s="84">
        <f>IF(Table1[[#This Row],[TANGGAL]]="","",ROW(N30))</f>
        <v>30</v>
      </c>
      <c r="C34" s="85">
        <v>46027</v>
      </c>
      <c r="D34" s="86" t="s">
        <v>332</v>
      </c>
      <c r="E34" s="52" t="str">
        <f>INDEX(Table5[KATEGORI PROGRAM],MATCH(Table1[[#This Row],[NAMA PROGRAM]],Table5[NAMA PROGRAM],0))</f>
        <v>Respon Bencana (Pangan)</v>
      </c>
      <c r="F34" s="43" t="s">
        <v>440</v>
      </c>
      <c r="G34" s="87" t="s">
        <v>442</v>
      </c>
      <c r="H34" s="53" t="s">
        <v>446</v>
      </c>
      <c r="I34" s="53" t="str">
        <f>INDEX(Table2[Kecamatan],MATCH(Table1[[#This Row],[KELURAHAN / DESA]],Table2[Kelurahan],0))</f>
        <v>Serba Jadi</v>
      </c>
      <c r="J34" s="53" t="str">
        <f>INDEX(Table2[Kabupaten/Kota],MATCH(Table1[[#This Row],[KECAMATAN]],Table2[Kecamatan],0))</f>
        <v>Aceh Timur</v>
      </c>
      <c r="K34" s="86" t="str">
        <f>INDEX(Table2[Provinsi],MATCH(Table1[[#This Row],[KAB./KOTA]],Table2[Kabupaten/Kota],0))</f>
        <v>Nangroe Aceh Darussalam</v>
      </c>
      <c r="L34" s="44">
        <v>12</v>
      </c>
      <c r="M34" s="53" t="s">
        <v>333</v>
      </c>
      <c r="N34" s="53" t="s">
        <v>400</v>
      </c>
      <c r="O34" s="66" t="s">
        <v>225</v>
      </c>
    </row>
    <row r="35" spans="2:15" ht="31" x14ac:dyDescent="0.35">
      <c r="B35" s="84">
        <f>IF(Table1[[#This Row],[TANGGAL]]="","",ROW(N31))</f>
        <v>31</v>
      </c>
      <c r="C35" s="85">
        <v>46027</v>
      </c>
      <c r="D35" s="86" t="s">
        <v>332</v>
      </c>
      <c r="E35" s="52" t="str">
        <f>INDEX(Table5[KATEGORI PROGRAM],MATCH(Table1[[#This Row],[NAMA PROGRAM]],Table5[NAMA PROGRAM],0))</f>
        <v>Respon Bencana (Pangan)</v>
      </c>
      <c r="F35" s="43" t="s">
        <v>440</v>
      </c>
      <c r="G35" s="87" t="s">
        <v>442</v>
      </c>
      <c r="H35" s="53" t="s">
        <v>446</v>
      </c>
      <c r="I35" s="53" t="str">
        <f>INDEX(Table2[Kecamatan],MATCH(Table1[[#This Row],[KELURAHAN / DESA]],Table2[Kelurahan],0))</f>
        <v>Serba Jadi</v>
      </c>
      <c r="J35" s="53" t="str">
        <f>INDEX(Table2[Kabupaten/Kota],MATCH(Table1[[#This Row],[KECAMATAN]],Table2[Kecamatan],0))</f>
        <v>Aceh Timur</v>
      </c>
      <c r="K35" s="86" t="str">
        <f>INDEX(Table2[Provinsi],MATCH(Table1[[#This Row],[KAB./KOTA]],Table2[Kabupaten/Kota],0))</f>
        <v>Nangroe Aceh Darussalam</v>
      </c>
      <c r="L35" s="44">
        <v>600</v>
      </c>
      <c r="M35" s="53" t="s">
        <v>453</v>
      </c>
      <c r="N35" s="53" t="s">
        <v>400</v>
      </c>
      <c r="O35" s="66" t="s">
        <v>225</v>
      </c>
    </row>
    <row r="36" spans="2:15" ht="31" x14ac:dyDescent="0.35">
      <c r="B36" s="84">
        <f>IF(Table1[[#This Row],[TANGGAL]]="","",ROW(N32))</f>
        <v>32</v>
      </c>
      <c r="C36" s="85">
        <v>46027</v>
      </c>
      <c r="D36" s="86" t="s">
        <v>9</v>
      </c>
      <c r="E36" s="52" t="str">
        <f>INDEX(Table5[KATEGORI PROGRAM],MATCH(Table1[[#This Row],[NAMA PROGRAM]],Table5[NAMA PROGRAM],0))</f>
        <v>Pangan</v>
      </c>
      <c r="F36" s="43" t="s">
        <v>374</v>
      </c>
      <c r="G36" s="87" t="s">
        <v>375</v>
      </c>
      <c r="H36" s="53" t="s">
        <v>47</v>
      </c>
      <c r="I36" s="53" t="str">
        <f>INDEX(Table2[Kecamatan],MATCH(Table1[[#This Row],[KELURAHAN / DESA]],Table2[Kelurahan],0))</f>
        <v>Ilir Barat I</v>
      </c>
      <c r="J36" s="53" t="str">
        <f>INDEX(Table2[Kabupaten/Kota],MATCH(Table1[[#This Row],[KECAMATAN]],Table2[Kecamatan],0))</f>
        <v>Palembang</v>
      </c>
      <c r="K36" s="86" t="str">
        <f>INDEX(Table2[Provinsi],MATCH(Table1[[#This Row],[KAB./KOTA]],Table2[Kabupaten/Kota],0))</f>
        <v>Sumatera Selatan</v>
      </c>
      <c r="L36" s="44">
        <v>165</v>
      </c>
      <c r="M36" s="53">
        <v>20</v>
      </c>
      <c r="N36" s="53" t="s">
        <v>468</v>
      </c>
      <c r="O36" s="66" t="s">
        <v>215</v>
      </c>
    </row>
    <row r="37" spans="2:15" ht="31" x14ac:dyDescent="0.35">
      <c r="B37" s="84">
        <f>IF(Table1[[#This Row],[TANGGAL]]="","",ROW(N33))</f>
        <v>33</v>
      </c>
      <c r="C37" s="85">
        <v>46027</v>
      </c>
      <c r="D37" s="86" t="s">
        <v>448</v>
      </c>
      <c r="E37" s="52" t="str">
        <f>INDEX(Table5[KATEGORI PROGRAM],MATCH(Table1[[#This Row],[NAMA PROGRAM]],Table5[NAMA PROGRAM],0))</f>
        <v>Respon Bencana (Recovery)</v>
      </c>
      <c r="F37" s="43" t="s">
        <v>439</v>
      </c>
      <c r="G37" s="87" t="s">
        <v>441</v>
      </c>
      <c r="H37" s="53" t="s">
        <v>443</v>
      </c>
      <c r="I37" s="53" t="str">
        <f>INDEX(Table2[Kecamatan],MATCH(Table1[[#This Row],[KELURAHAN / DESA]],Table2[Kelurahan],0))</f>
        <v>Serba Jadi</v>
      </c>
      <c r="J37" s="53" t="str">
        <f>INDEX(Table2[Kabupaten/Kota],MATCH(Table1[[#This Row],[KECAMATAN]],Table2[Kecamatan],0))</f>
        <v>Aceh Timur</v>
      </c>
      <c r="K37" s="86" t="str">
        <f>INDEX(Table2[Provinsi],MATCH(Table1[[#This Row],[KAB./KOTA]],Table2[Kabupaten/Kota],0))</f>
        <v>Nangroe Aceh Darussalam</v>
      </c>
      <c r="L37" s="44">
        <v>56</v>
      </c>
      <c r="M37" s="53" t="s">
        <v>451</v>
      </c>
      <c r="N37" s="53" t="s">
        <v>400</v>
      </c>
      <c r="O37" s="66" t="s">
        <v>225</v>
      </c>
    </row>
    <row r="38" spans="2:15" ht="31" x14ac:dyDescent="0.35">
      <c r="B38" s="84">
        <f>IF(Table1[[#This Row],[TANGGAL]]="","",ROW(N34))</f>
        <v>34</v>
      </c>
      <c r="C38" s="85">
        <v>46027</v>
      </c>
      <c r="D38" s="86" t="s">
        <v>447</v>
      </c>
      <c r="E38" s="52" t="str">
        <f>INDEX(Table5[KATEGORI PROGRAM],MATCH(Table1[[#This Row],[NAMA PROGRAM]],Table5[NAMA PROGRAM],0))</f>
        <v>Respon Bencana (Recovery)</v>
      </c>
      <c r="F38" s="43" t="s">
        <v>439</v>
      </c>
      <c r="G38" s="87" t="s">
        <v>441</v>
      </c>
      <c r="H38" s="53" t="s">
        <v>443</v>
      </c>
      <c r="I38" s="53" t="str">
        <f>INDEX(Table2[Kecamatan],MATCH(Table1[[#This Row],[KELURAHAN / DESA]],Table2[Kelurahan],0))</f>
        <v>Serba Jadi</v>
      </c>
      <c r="J38" s="53" t="str">
        <f>INDEX(Table2[Kabupaten/Kota],MATCH(Table1[[#This Row],[KECAMATAN]],Table2[Kecamatan],0))</f>
        <v>Aceh Timur</v>
      </c>
      <c r="K38" s="86" t="str">
        <f>INDEX(Table2[Provinsi],MATCH(Table1[[#This Row],[KAB./KOTA]],Table2[Kabupaten/Kota],0))</f>
        <v>Nangroe Aceh Darussalam</v>
      </c>
      <c r="L38" s="44">
        <v>50</v>
      </c>
      <c r="M38" s="53" t="s">
        <v>449</v>
      </c>
      <c r="N38" s="53" t="s">
        <v>400</v>
      </c>
      <c r="O38" s="66" t="s">
        <v>225</v>
      </c>
    </row>
    <row r="39" spans="2:15" ht="31" x14ac:dyDescent="0.35">
      <c r="B39" s="84">
        <f>IF(Table1[[#This Row],[TANGGAL]]="","",ROW(N35))</f>
        <v>35</v>
      </c>
      <c r="C39" s="85">
        <v>46027</v>
      </c>
      <c r="D39" s="86" t="s">
        <v>447</v>
      </c>
      <c r="E39" s="52" t="str">
        <f>INDEX(Table5[KATEGORI PROGRAM],MATCH(Table1[[#This Row],[NAMA PROGRAM]],Table5[NAMA PROGRAM],0))</f>
        <v>Respon Bencana (Recovery)</v>
      </c>
      <c r="F39" s="43" t="s">
        <v>439</v>
      </c>
      <c r="G39" s="87" t="s">
        <v>441</v>
      </c>
      <c r="H39" s="53" t="s">
        <v>443</v>
      </c>
      <c r="I39" s="53" t="str">
        <f>INDEX(Table2[Kecamatan],MATCH(Table1[[#This Row],[KELURAHAN / DESA]],Table2[Kelurahan],0))</f>
        <v>Serba Jadi</v>
      </c>
      <c r="J39" s="53" t="str">
        <f>INDEX(Table2[Kabupaten/Kota],MATCH(Table1[[#This Row],[KECAMATAN]],Table2[Kecamatan],0))</f>
        <v>Aceh Timur</v>
      </c>
      <c r="K39" s="86" t="str">
        <f>INDEX(Table2[Provinsi],MATCH(Table1[[#This Row],[KAB./KOTA]],Table2[Kabupaten/Kota],0))</f>
        <v>Nangroe Aceh Darussalam</v>
      </c>
      <c r="L39" s="44">
        <v>50</v>
      </c>
      <c r="M39" s="53" t="s">
        <v>450</v>
      </c>
      <c r="N39" s="53" t="s">
        <v>400</v>
      </c>
      <c r="O39" s="66" t="s">
        <v>225</v>
      </c>
    </row>
    <row r="40" spans="2:15" ht="31" x14ac:dyDescent="0.35">
      <c r="B40" s="84">
        <f>IF(Table1[[#This Row],[TANGGAL]]="","",ROW(N36))</f>
        <v>36</v>
      </c>
      <c r="C40" s="85">
        <v>46027</v>
      </c>
      <c r="D40" s="86" t="s">
        <v>447</v>
      </c>
      <c r="E40" s="52" t="str">
        <f>INDEX(Table5[KATEGORI PROGRAM],MATCH(Table1[[#This Row],[NAMA PROGRAM]],Table5[NAMA PROGRAM],0))</f>
        <v>Respon Bencana (Recovery)</v>
      </c>
      <c r="F40" s="43" t="s">
        <v>439</v>
      </c>
      <c r="G40" s="87" t="s">
        <v>441</v>
      </c>
      <c r="H40" s="53" t="s">
        <v>443</v>
      </c>
      <c r="I40" s="53" t="str">
        <f>INDEX(Table2[Kecamatan],MATCH(Table1[[#This Row],[KELURAHAN / DESA]],Table2[Kelurahan],0))</f>
        <v>Serba Jadi</v>
      </c>
      <c r="J40" s="53" t="str">
        <f>INDEX(Table2[Kabupaten/Kota],MATCH(Table1[[#This Row],[KECAMATAN]],Table2[Kecamatan],0))</f>
        <v>Aceh Timur</v>
      </c>
      <c r="K40" s="86" t="str">
        <f>INDEX(Table2[Provinsi],MATCH(Table1[[#This Row],[KAB./KOTA]],Table2[Kabupaten/Kota],0))</f>
        <v>Nangroe Aceh Darussalam</v>
      </c>
      <c r="L40" s="44">
        <v>50</v>
      </c>
      <c r="M40" s="53" t="s">
        <v>338</v>
      </c>
      <c r="N40" s="53" t="s">
        <v>400</v>
      </c>
      <c r="O40" s="66" t="s">
        <v>225</v>
      </c>
    </row>
    <row r="41" spans="2:15" ht="31" x14ac:dyDescent="0.35">
      <c r="B41" s="84">
        <f>IF(Table1[[#This Row],[TANGGAL]]="","",ROW(N37))</f>
        <v>37</v>
      </c>
      <c r="C41" s="85">
        <v>46027</v>
      </c>
      <c r="D41" s="86" t="s">
        <v>447</v>
      </c>
      <c r="E41" s="52" t="str">
        <f>INDEX(Table5[KATEGORI PROGRAM],MATCH(Table1[[#This Row],[NAMA PROGRAM]],Table5[NAMA PROGRAM],0))</f>
        <v>Respon Bencana (Recovery)</v>
      </c>
      <c r="F41" s="43" t="s">
        <v>440</v>
      </c>
      <c r="G41" s="87" t="s">
        <v>442</v>
      </c>
      <c r="H41" s="53" t="s">
        <v>446</v>
      </c>
      <c r="I41" s="53" t="str">
        <f>INDEX(Table2[Kecamatan],MATCH(Table1[[#This Row],[KELURAHAN / DESA]],Table2[Kelurahan],0))</f>
        <v>Serba Jadi</v>
      </c>
      <c r="J41" s="53" t="str">
        <f>INDEX(Table2[Kabupaten/Kota],MATCH(Table1[[#This Row],[KECAMATAN]],Table2[Kecamatan],0))</f>
        <v>Aceh Timur</v>
      </c>
      <c r="K41" s="86" t="str">
        <f>INDEX(Table2[Provinsi],MATCH(Table1[[#This Row],[KAB./KOTA]],Table2[Kabupaten/Kota],0))</f>
        <v>Nangroe Aceh Darussalam</v>
      </c>
      <c r="L41" s="44">
        <v>12</v>
      </c>
      <c r="M41" s="53" t="s">
        <v>449</v>
      </c>
      <c r="N41" s="53" t="s">
        <v>400</v>
      </c>
      <c r="O41" s="66" t="s">
        <v>225</v>
      </c>
    </row>
    <row r="42" spans="2:15" ht="31" x14ac:dyDescent="0.35">
      <c r="B42" s="84">
        <f>IF(Table1[[#This Row],[TANGGAL]]="","",ROW(N38))</f>
        <v>38</v>
      </c>
      <c r="C42" s="85">
        <v>46027</v>
      </c>
      <c r="D42" s="86" t="s">
        <v>447</v>
      </c>
      <c r="E42" s="52" t="str">
        <f>INDEX(Table5[KATEGORI PROGRAM],MATCH(Table1[[#This Row],[NAMA PROGRAM]],Table5[NAMA PROGRAM],0))</f>
        <v>Respon Bencana (Recovery)</v>
      </c>
      <c r="F42" s="43" t="s">
        <v>440</v>
      </c>
      <c r="G42" s="87" t="s">
        <v>442</v>
      </c>
      <c r="H42" s="53" t="s">
        <v>446</v>
      </c>
      <c r="I42" s="53" t="str">
        <f>INDEX(Table2[Kecamatan],MATCH(Table1[[#This Row],[KELURAHAN / DESA]],Table2[Kelurahan],0))</f>
        <v>Serba Jadi</v>
      </c>
      <c r="J42" s="53" t="str">
        <f>INDEX(Table2[Kabupaten/Kota],MATCH(Table1[[#This Row],[KECAMATAN]],Table2[Kecamatan],0))</f>
        <v>Aceh Timur</v>
      </c>
      <c r="K42" s="86" t="str">
        <f>INDEX(Table2[Provinsi],MATCH(Table1[[#This Row],[KAB./KOTA]],Table2[Kabupaten/Kota],0))</f>
        <v>Nangroe Aceh Darussalam</v>
      </c>
      <c r="L42" s="44">
        <v>12</v>
      </c>
      <c r="M42" s="53" t="s">
        <v>450</v>
      </c>
      <c r="N42" s="53" t="s">
        <v>400</v>
      </c>
      <c r="O42" s="66" t="s">
        <v>225</v>
      </c>
    </row>
    <row r="43" spans="2:15" ht="31" x14ac:dyDescent="0.35">
      <c r="B43" s="84">
        <f>IF(Table1[[#This Row],[TANGGAL]]="","",ROW(N39))</f>
        <v>39</v>
      </c>
      <c r="C43" s="85">
        <v>46027</v>
      </c>
      <c r="D43" s="86" t="s">
        <v>447</v>
      </c>
      <c r="E43" s="52" t="str">
        <f>INDEX(Table5[KATEGORI PROGRAM],MATCH(Table1[[#This Row],[NAMA PROGRAM]],Table5[NAMA PROGRAM],0))</f>
        <v>Respon Bencana (Recovery)</v>
      </c>
      <c r="F43" s="43" t="s">
        <v>440</v>
      </c>
      <c r="G43" s="87" t="s">
        <v>442</v>
      </c>
      <c r="H43" s="53" t="s">
        <v>446</v>
      </c>
      <c r="I43" s="53" t="str">
        <f>INDEX(Table2[Kecamatan],MATCH(Table1[[#This Row],[KELURAHAN / DESA]],Table2[Kelurahan],0))</f>
        <v>Serba Jadi</v>
      </c>
      <c r="J43" s="53" t="str">
        <f>INDEX(Table2[Kabupaten/Kota],MATCH(Table1[[#This Row],[KECAMATAN]],Table2[Kecamatan],0))</f>
        <v>Aceh Timur</v>
      </c>
      <c r="K43" s="86" t="str">
        <f>INDEX(Table2[Provinsi],MATCH(Table1[[#This Row],[KAB./KOTA]],Table2[Kabupaten/Kota],0))</f>
        <v>Nangroe Aceh Darussalam</v>
      </c>
      <c r="L43" s="44">
        <v>12</v>
      </c>
      <c r="M43" s="53" t="s">
        <v>338</v>
      </c>
      <c r="N43" s="53" t="s">
        <v>400</v>
      </c>
      <c r="O43" s="66" t="s">
        <v>225</v>
      </c>
    </row>
    <row r="44" spans="2:15" ht="31" x14ac:dyDescent="0.35">
      <c r="B44" s="84">
        <f>IF(Table1[[#This Row],[TANGGAL]]="","",ROW(N40))</f>
        <v>40</v>
      </c>
      <c r="C44" s="85">
        <v>46028</v>
      </c>
      <c r="D44" s="86" t="s">
        <v>327</v>
      </c>
      <c r="E44" s="52" t="str">
        <f>INDEX(Table5[KATEGORI PROGRAM],MATCH(Table1[[#This Row],[NAMA PROGRAM]],Table5[NAMA PROGRAM],0))</f>
        <v>Respon Bencana (Recovery)</v>
      </c>
      <c r="F44" s="43" t="s">
        <v>454</v>
      </c>
      <c r="G44" s="87" t="s">
        <v>455</v>
      </c>
      <c r="H44" s="53" t="s">
        <v>456</v>
      </c>
      <c r="I44" s="53" t="str">
        <f>INDEX(Table2[Kecamatan],MATCH(Table1[[#This Row],[KELURAHAN / DESA]],Table2[Kelurahan],0))</f>
        <v>Sekerak</v>
      </c>
      <c r="J44" s="53" t="str">
        <f>INDEX(Table2[Kabupaten/Kota],MATCH(Table1[[#This Row],[KECAMATAN]],Table2[Kecamatan],0))</f>
        <v>Aceh Tamiang</v>
      </c>
      <c r="K44" s="86" t="str">
        <f>INDEX(Table2[Provinsi],MATCH(Table1[[#This Row],[KAB./KOTA]],Table2[Kabupaten/Kota],0))</f>
        <v>Nangroe Aceh Darussalam</v>
      </c>
      <c r="L44" s="44">
        <v>50</v>
      </c>
      <c r="M44" s="53" t="s">
        <v>292</v>
      </c>
      <c r="N44" s="53" t="s">
        <v>400</v>
      </c>
      <c r="O44" s="66" t="s">
        <v>225</v>
      </c>
    </row>
    <row r="45" spans="2:15" ht="31" x14ac:dyDescent="0.35">
      <c r="B45" s="84">
        <f>IF(Table1[[#This Row],[TANGGAL]]="","",ROW(N41))</f>
        <v>41</v>
      </c>
      <c r="C45" s="85">
        <v>46028</v>
      </c>
      <c r="D45" s="86" t="s">
        <v>327</v>
      </c>
      <c r="E45" s="52" t="str">
        <f>INDEX(Table5[KATEGORI PROGRAM],MATCH(Table1[[#This Row],[NAMA PROGRAM]],Table5[NAMA PROGRAM],0))</f>
        <v>Respon Bencana (Recovery)</v>
      </c>
      <c r="F45" s="43" t="s">
        <v>454</v>
      </c>
      <c r="G45" s="87" t="s">
        <v>455</v>
      </c>
      <c r="H45" s="53" t="s">
        <v>456</v>
      </c>
      <c r="I45" s="53" t="str">
        <f>INDEX(Table2[Kecamatan],MATCH(Table1[[#This Row],[KELURAHAN / DESA]],Table2[Kelurahan],0))</f>
        <v>Sekerak</v>
      </c>
      <c r="J45" s="53" t="str">
        <f>INDEX(Table2[Kabupaten/Kota],MATCH(Table1[[#This Row],[KECAMATAN]],Table2[Kecamatan],0))</f>
        <v>Aceh Tamiang</v>
      </c>
      <c r="K45" s="86" t="str">
        <f>INDEX(Table2[Provinsi],MATCH(Table1[[#This Row],[KAB./KOTA]],Table2[Kabupaten/Kota],0))</f>
        <v>Nangroe Aceh Darussalam</v>
      </c>
      <c r="L45" s="44">
        <v>50</v>
      </c>
      <c r="M45" s="53" t="s">
        <v>340</v>
      </c>
      <c r="N45" s="53" t="s">
        <v>400</v>
      </c>
      <c r="O45" s="66" t="s">
        <v>225</v>
      </c>
    </row>
    <row r="46" spans="2:15" ht="31" x14ac:dyDescent="0.35">
      <c r="B46" s="84">
        <f>IF(Table1[[#This Row],[TANGGAL]]="","",ROW(N42))</f>
        <v>42</v>
      </c>
      <c r="C46" s="85">
        <v>46028</v>
      </c>
      <c r="D46" s="86" t="s">
        <v>9</v>
      </c>
      <c r="E46" s="52" t="str">
        <f>INDEX(Table5[KATEGORI PROGRAM],MATCH(Table1[[#This Row],[NAMA PROGRAM]],Table5[NAMA PROGRAM],0))</f>
        <v>Pangan</v>
      </c>
      <c r="F46" s="43" t="s">
        <v>374</v>
      </c>
      <c r="G46" s="87" t="s">
        <v>376</v>
      </c>
      <c r="H46" s="53" t="s">
        <v>47</v>
      </c>
      <c r="I46" s="53" t="str">
        <f>INDEX(Table2[Kecamatan],MATCH(Table1[[#This Row],[KELURAHAN / DESA]],Table2[Kelurahan],0))</f>
        <v>Ilir Barat I</v>
      </c>
      <c r="J46" s="53" t="str">
        <f>INDEX(Table2[Kabupaten/Kota],MATCH(Table1[[#This Row],[KECAMATAN]],Table2[Kecamatan],0))</f>
        <v>Palembang</v>
      </c>
      <c r="K46" s="86" t="str">
        <f>INDEX(Table2[Provinsi],MATCH(Table1[[#This Row],[KAB./KOTA]],Table2[Kabupaten/Kota],0))</f>
        <v>Sumatera Selatan</v>
      </c>
      <c r="L46" s="44">
        <v>45</v>
      </c>
      <c r="M46" s="53">
        <v>6</v>
      </c>
      <c r="N46" s="53" t="s">
        <v>468</v>
      </c>
      <c r="O46" s="66" t="s">
        <v>215</v>
      </c>
    </row>
    <row r="47" spans="2:15" ht="31" x14ac:dyDescent="0.35">
      <c r="B47" s="84">
        <f>IF(Table1[[#This Row],[TANGGAL]]="","",ROW(N43))</f>
        <v>43</v>
      </c>
      <c r="C47" s="85">
        <v>46028</v>
      </c>
      <c r="D47" s="86" t="s">
        <v>9</v>
      </c>
      <c r="E47" s="52" t="str">
        <f>INDEX(Table5[KATEGORI PROGRAM],MATCH(Table1[[#This Row],[NAMA PROGRAM]],Table5[NAMA PROGRAM],0))</f>
        <v>Pangan</v>
      </c>
      <c r="F47" s="43" t="s">
        <v>372</v>
      </c>
      <c r="G47" s="87" t="s">
        <v>381</v>
      </c>
      <c r="H47" s="53" t="s">
        <v>99</v>
      </c>
      <c r="I47" s="53" t="str">
        <f>INDEX(Table2[Kecamatan],MATCH(Table1[[#This Row],[KELURAHAN / DESA]],Table2[Kelurahan],0))</f>
        <v>Kertapati</v>
      </c>
      <c r="J47" s="53" t="str">
        <f>INDEX(Table2[Kabupaten/Kota],MATCH(Table1[[#This Row],[KECAMATAN]],Table2[Kecamatan],0))</f>
        <v>Palembang</v>
      </c>
      <c r="K47" s="86" t="str">
        <f>INDEX(Table2[Provinsi],MATCH(Table1[[#This Row],[KAB./KOTA]],Table2[Kabupaten/Kota],0))</f>
        <v>Sumatera Selatan</v>
      </c>
      <c r="L47" s="44">
        <v>39</v>
      </c>
      <c r="M47" s="53">
        <v>2</v>
      </c>
      <c r="N47" s="53" t="s">
        <v>378</v>
      </c>
      <c r="O47" s="66" t="s">
        <v>211</v>
      </c>
    </row>
    <row r="48" spans="2:15" ht="29" x14ac:dyDescent="0.35">
      <c r="B48" s="84">
        <f>IF(Table1[[#This Row],[TANGGAL]]="","",ROW(N44))</f>
        <v>44</v>
      </c>
      <c r="C48" s="85">
        <v>46028</v>
      </c>
      <c r="D48" s="86" t="s">
        <v>9</v>
      </c>
      <c r="E48" s="52" t="str">
        <f>INDEX(Table5[KATEGORI PROGRAM],MATCH(Table1[[#This Row],[NAMA PROGRAM]],Table5[NAMA PROGRAM],0))</f>
        <v>Pangan</v>
      </c>
      <c r="F48" s="43" t="s">
        <v>372</v>
      </c>
      <c r="G48" s="87" t="s">
        <v>322</v>
      </c>
      <c r="H48" s="53" t="s">
        <v>99</v>
      </c>
      <c r="I48" s="53" t="str">
        <f>INDEX(Table2[Kecamatan],MATCH(Table1[[#This Row],[KELURAHAN / DESA]],Table2[Kelurahan],0))</f>
        <v>Kertapati</v>
      </c>
      <c r="J48" s="53" t="str">
        <f>INDEX(Table2[Kabupaten/Kota],MATCH(Table1[[#This Row],[KECAMATAN]],Table2[Kecamatan],0))</f>
        <v>Palembang</v>
      </c>
      <c r="K48" s="86" t="str">
        <f>INDEX(Table2[Provinsi],MATCH(Table1[[#This Row],[KAB./KOTA]],Table2[Kabupaten/Kota],0))</f>
        <v>Sumatera Selatan</v>
      </c>
      <c r="L48" s="44">
        <v>66</v>
      </c>
      <c r="M48" s="53">
        <v>3</v>
      </c>
      <c r="N48" s="53" t="s">
        <v>377</v>
      </c>
      <c r="O48" s="66" t="s">
        <v>215</v>
      </c>
    </row>
    <row r="49" spans="2:15" ht="31" x14ac:dyDescent="0.35">
      <c r="B49" s="84">
        <f>IF(Table1[[#This Row],[TANGGAL]]="","",ROW(N45))</f>
        <v>45</v>
      </c>
      <c r="C49" s="85">
        <v>46029</v>
      </c>
      <c r="D49" s="86" t="s">
        <v>9</v>
      </c>
      <c r="E49" s="52" t="str">
        <f>INDEX(Table5[KATEGORI PROGRAM],MATCH(Table1[[#This Row],[NAMA PROGRAM]],Table5[NAMA PROGRAM],0))</f>
        <v>Pangan</v>
      </c>
      <c r="F49" s="43" t="s">
        <v>379</v>
      </c>
      <c r="G49" s="87" t="s">
        <v>380</v>
      </c>
      <c r="H49" s="53" t="s">
        <v>96</v>
      </c>
      <c r="I49" s="53" t="str">
        <f>INDEX(Table2[Kecamatan],MATCH(Table1[[#This Row],[KELURAHAN / DESA]],Table2[Kelurahan],0))</f>
        <v>Kertapati</v>
      </c>
      <c r="J49" s="53" t="str">
        <f>INDEX(Table2[Kabupaten/Kota],MATCH(Table1[[#This Row],[KECAMATAN]],Table2[Kecamatan],0))</f>
        <v>Palembang</v>
      </c>
      <c r="K49" s="86" t="str">
        <f>INDEX(Table2[Provinsi],MATCH(Table1[[#This Row],[KAB./KOTA]],Table2[Kabupaten/Kota],0))</f>
        <v>Sumatera Selatan</v>
      </c>
      <c r="L49" s="44">
        <v>31</v>
      </c>
      <c r="M49" s="53">
        <v>2</v>
      </c>
      <c r="N49" s="53" t="s">
        <v>378</v>
      </c>
      <c r="O49" s="66" t="s">
        <v>211</v>
      </c>
    </row>
    <row r="50" spans="2:15" ht="31" x14ac:dyDescent="0.35">
      <c r="B50" s="84">
        <f>IF(Table1[[#This Row],[TANGGAL]]="","",ROW(N46))</f>
        <v>46</v>
      </c>
      <c r="C50" s="85">
        <v>46029</v>
      </c>
      <c r="D50" s="86" t="s">
        <v>459</v>
      </c>
      <c r="E50" s="52" t="str">
        <f>INDEX(Table5[KATEGORI PROGRAM],MATCH(Table1[[#This Row],[NAMA PROGRAM]],Table5[NAMA PROGRAM],0))</f>
        <v>Respon Bencana (Bantuan Air Bersih)</v>
      </c>
      <c r="F50" s="43" t="s">
        <v>457</v>
      </c>
      <c r="G50" s="87" t="s">
        <v>458</v>
      </c>
      <c r="H50" s="53" t="s">
        <v>426</v>
      </c>
      <c r="I50" s="53" t="str">
        <f>INDEX(Table2[Kecamatan],MATCH(Table1[[#This Row],[KELURAHAN / DESA]],Table2[Kelurahan],0))</f>
        <v>Karang baru</v>
      </c>
      <c r="J50" s="53" t="str">
        <f>INDEX(Table2[Kabupaten/Kota],MATCH(Table1[[#This Row],[KECAMATAN]],Table2[Kecamatan],0))</f>
        <v>Aceh Tamiang</v>
      </c>
      <c r="K50" s="86" t="str">
        <f>INDEX(Table2[Provinsi],MATCH(Table1[[#This Row],[KAB./KOTA]],Table2[Kabupaten/Kota],0))</f>
        <v>Nangroe Aceh Darussalam</v>
      </c>
      <c r="L50" s="44">
        <v>312</v>
      </c>
      <c r="M50" s="53" t="s">
        <v>460</v>
      </c>
      <c r="N50" s="53" t="s">
        <v>400</v>
      </c>
      <c r="O50" s="66" t="s">
        <v>225</v>
      </c>
    </row>
    <row r="51" spans="2:15" ht="31" x14ac:dyDescent="0.35">
      <c r="B51" s="84">
        <f>IF(Table1[[#This Row],[TANGGAL]]="","",ROW(N47))</f>
        <v>47</v>
      </c>
      <c r="C51" s="85">
        <v>46029</v>
      </c>
      <c r="D51" s="86" t="s">
        <v>459</v>
      </c>
      <c r="E51" s="52" t="str">
        <f>INDEX(Table5[KATEGORI PROGRAM],MATCH(Table1[[#This Row],[NAMA PROGRAM]],Table5[NAMA PROGRAM],0))</f>
        <v>Respon Bencana (Bantuan Air Bersih)</v>
      </c>
      <c r="F51" s="43" t="s">
        <v>416</v>
      </c>
      <c r="G51" s="87" t="s">
        <v>461</v>
      </c>
      <c r="H51" s="53" t="s">
        <v>417</v>
      </c>
      <c r="I51" s="53" t="str">
        <f>INDEX(Table2[Kecamatan],MATCH(Table1[[#This Row],[KELURAHAN / DESA]],Table2[Kelurahan],0))</f>
        <v>Karang baru</v>
      </c>
      <c r="J51" s="53" t="str">
        <f>INDEX(Table2[Kabupaten/Kota],MATCH(Table1[[#This Row],[KECAMATAN]],Table2[Kecamatan],0))</f>
        <v>Aceh Tamiang</v>
      </c>
      <c r="K51" s="86" t="str">
        <f>INDEX(Table2[Provinsi],MATCH(Table1[[#This Row],[KAB./KOTA]],Table2[Kabupaten/Kota],0))</f>
        <v>Nangroe Aceh Darussalam</v>
      </c>
      <c r="L51" s="44">
        <v>354</v>
      </c>
      <c r="M51" s="53" t="s">
        <v>460</v>
      </c>
      <c r="N51" s="53" t="s">
        <v>400</v>
      </c>
      <c r="O51" s="66" t="s">
        <v>225</v>
      </c>
    </row>
    <row r="52" spans="2:15" ht="31" x14ac:dyDescent="0.35">
      <c r="B52" s="84">
        <f>IF(Table1[[#This Row],[TANGGAL]]="","",ROW(N48))</f>
        <v>48</v>
      </c>
      <c r="C52" s="85">
        <v>46030</v>
      </c>
      <c r="D52" s="86" t="s">
        <v>327</v>
      </c>
      <c r="E52" s="52" t="str">
        <f>INDEX(Table5[KATEGORI PROGRAM],MATCH(Table1[[#This Row],[NAMA PROGRAM]],Table5[NAMA PROGRAM],0))</f>
        <v>Respon Bencana (Recovery)</v>
      </c>
      <c r="F52" s="43" t="s">
        <v>473</v>
      </c>
      <c r="G52" s="87" t="s">
        <v>476</v>
      </c>
      <c r="H52" s="53" t="s">
        <v>474</v>
      </c>
      <c r="I52" s="53" t="str">
        <f>INDEX(Table2[Kecamatan],MATCH(Table1[[#This Row],[KELURAHAN / DESA]],Table2[Kelurahan],0))</f>
        <v>Bandar Mulia</v>
      </c>
      <c r="J52" s="53" t="str">
        <f>INDEX(Table2[Kabupaten/Kota],MATCH(Table1[[#This Row],[KECAMATAN]],Table2[Kecamatan],0))</f>
        <v>Aceh Tamiang</v>
      </c>
      <c r="K52" s="86" t="str">
        <f>INDEX(Table2[Provinsi],MATCH(Table1[[#This Row],[KAB./KOTA]],Table2[Kabupaten/Kota],0))</f>
        <v>Nangroe Aceh Darussalam</v>
      </c>
      <c r="L52" s="44">
        <v>14</v>
      </c>
      <c r="M52" s="53" t="s">
        <v>292</v>
      </c>
      <c r="N52" s="53" t="s">
        <v>400</v>
      </c>
      <c r="O52" s="66" t="s">
        <v>225</v>
      </c>
    </row>
    <row r="53" spans="2:15" ht="31" x14ac:dyDescent="0.35">
      <c r="B53" s="84">
        <f>IF(Table1[[#This Row],[TANGGAL]]="","",ROW(N49))</f>
        <v>49</v>
      </c>
      <c r="C53" s="85">
        <v>46030</v>
      </c>
      <c r="D53" s="86" t="s">
        <v>327</v>
      </c>
      <c r="E53" s="52" t="str">
        <f>INDEX(Table5[KATEGORI PROGRAM],MATCH(Table1[[#This Row],[NAMA PROGRAM]],Table5[NAMA PROGRAM],0))</f>
        <v>Respon Bencana (Recovery)</v>
      </c>
      <c r="F53" s="43" t="s">
        <v>473</v>
      </c>
      <c r="G53" s="87" t="s">
        <v>476</v>
      </c>
      <c r="H53" s="53" t="s">
        <v>474</v>
      </c>
      <c r="I53" s="53" t="str">
        <f>INDEX(Table2[Kecamatan],MATCH(Table1[[#This Row],[KELURAHAN / DESA]],Table2[Kelurahan],0))</f>
        <v>Bandar Mulia</v>
      </c>
      <c r="J53" s="53" t="str">
        <f>INDEX(Table2[Kabupaten/Kota],MATCH(Table1[[#This Row],[KECAMATAN]],Table2[Kecamatan],0))</f>
        <v>Aceh Tamiang</v>
      </c>
      <c r="K53" s="86" t="str">
        <f>INDEX(Table2[Provinsi],MATCH(Table1[[#This Row],[KAB./KOTA]],Table2[Kabupaten/Kota],0))</f>
        <v>Nangroe Aceh Darussalam</v>
      </c>
      <c r="L53" s="44">
        <v>31</v>
      </c>
      <c r="M53" s="53" t="s">
        <v>340</v>
      </c>
      <c r="N53" s="53" t="s">
        <v>400</v>
      </c>
      <c r="O53" s="66" t="s">
        <v>225</v>
      </c>
    </row>
    <row r="54" spans="2:15" ht="31" x14ac:dyDescent="0.35">
      <c r="B54" s="84">
        <f>IF(Table1[[#This Row],[TANGGAL]]="","",ROW(N50))</f>
        <v>50</v>
      </c>
      <c r="C54" s="85">
        <v>46030</v>
      </c>
      <c r="D54" s="86" t="s">
        <v>327</v>
      </c>
      <c r="E54" s="52" t="str">
        <f>INDEX(Table5[KATEGORI PROGRAM],MATCH(Table1[[#This Row],[NAMA PROGRAM]],Table5[NAMA PROGRAM],0))</f>
        <v>Respon Bencana (Recovery)</v>
      </c>
      <c r="F54" s="43" t="s">
        <v>477</v>
      </c>
      <c r="G54" s="87" t="s">
        <v>479</v>
      </c>
      <c r="H54" s="53" t="s">
        <v>478</v>
      </c>
      <c r="I54" s="53" t="str">
        <f>INDEX(Table2[Kecamatan],MATCH(Table1[[#This Row],[KELURAHAN / DESA]],Table2[Kelurahan],0))</f>
        <v>Karang baru</v>
      </c>
      <c r="J54" s="53" t="str">
        <f>INDEX(Table2[Kabupaten/Kota],MATCH(Table1[[#This Row],[KECAMATAN]],Table2[Kecamatan],0))</f>
        <v>Aceh Tamiang</v>
      </c>
      <c r="K54" s="86" t="str">
        <f>INDEX(Table2[Provinsi],MATCH(Table1[[#This Row],[KAB./KOTA]],Table2[Kabupaten/Kota],0))</f>
        <v>Nangroe Aceh Darussalam</v>
      </c>
      <c r="L54" s="44">
        <v>50</v>
      </c>
      <c r="M54" s="53" t="s">
        <v>340</v>
      </c>
      <c r="N54" s="53" t="s">
        <v>400</v>
      </c>
      <c r="O54" s="66" t="s">
        <v>225</v>
      </c>
    </row>
    <row r="55" spans="2:15" ht="31" x14ac:dyDescent="0.35">
      <c r="B55" s="84">
        <f>IF(Table1[[#This Row],[TANGGAL]]="","",ROW(N51))</f>
        <v>51</v>
      </c>
      <c r="C55" s="85">
        <v>46030</v>
      </c>
      <c r="D55" s="86" t="s">
        <v>459</v>
      </c>
      <c r="E55" s="52" t="str">
        <f>INDEX(Table5[KATEGORI PROGRAM],MATCH(Table1[[#This Row],[NAMA PROGRAM]],Table5[NAMA PROGRAM],0))</f>
        <v>Respon Bencana (Bantuan Air Bersih)</v>
      </c>
      <c r="F55" s="43" t="s">
        <v>481</v>
      </c>
      <c r="G55" s="87" t="s">
        <v>482</v>
      </c>
      <c r="H55" s="53" t="s">
        <v>483</v>
      </c>
      <c r="I55" s="53" t="str">
        <f>INDEX(Table2[Kecamatan],MATCH(Table1[[#This Row],[KELURAHAN / DESA]],Table2[Kelurahan],0))</f>
        <v>Kejuruan Muda</v>
      </c>
      <c r="J55" s="53" t="str">
        <f>INDEX(Table2[Kabupaten/Kota],MATCH(Table1[[#This Row],[KECAMATAN]],Table2[Kecamatan],0))</f>
        <v>Aceh Tamiang</v>
      </c>
      <c r="K55" s="86" t="str">
        <f>INDEX(Table2[Provinsi],MATCH(Table1[[#This Row],[KAB./KOTA]],Table2[Kabupaten/Kota],0))</f>
        <v>Nangroe Aceh Darussalam</v>
      </c>
      <c r="L55" s="44">
        <v>300</v>
      </c>
      <c r="M55" s="53" t="s">
        <v>460</v>
      </c>
      <c r="N55" s="53" t="s">
        <v>400</v>
      </c>
      <c r="O55" s="66" t="s">
        <v>225</v>
      </c>
    </row>
    <row r="56" spans="2:15" ht="31" x14ac:dyDescent="0.35">
      <c r="B56" s="84">
        <f>IF(Table1[[#This Row],[TANGGAL]]="","",ROW(N52))</f>
        <v>52</v>
      </c>
      <c r="C56" s="85">
        <v>46030</v>
      </c>
      <c r="D56" s="86" t="s">
        <v>165</v>
      </c>
      <c r="E56" s="52" t="str">
        <f>INDEX(Table5[KATEGORI PROGRAM],MATCH(Table1[[#This Row],[NAMA PROGRAM]],Table5[NAMA PROGRAM],0))</f>
        <v>Event Sosial</v>
      </c>
      <c r="F56" s="43" t="s">
        <v>382</v>
      </c>
      <c r="G56" s="87" t="s">
        <v>383</v>
      </c>
      <c r="H56" s="53" t="s">
        <v>104</v>
      </c>
      <c r="I56" s="53" t="str">
        <f>INDEX(Table2[Kecamatan],MATCH(Table1[[#This Row],[KELURAHAN / DESA]],Table2[Kelurahan],0))</f>
        <v>Plaju</v>
      </c>
      <c r="J56" s="53" t="str">
        <f>INDEX(Table2[Kabupaten/Kota],MATCH(Table1[[#This Row],[KECAMATAN]],Table2[Kecamatan],0))</f>
        <v>Palembang</v>
      </c>
      <c r="K56" s="86" t="str">
        <f>INDEX(Table2[Provinsi],MATCH(Table1[[#This Row],[KAB./KOTA]],Table2[Kabupaten/Kota],0))</f>
        <v>Sumatera Selatan</v>
      </c>
      <c r="L56" s="44">
        <v>100</v>
      </c>
      <c r="M56" s="53" t="s">
        <v>385</v>
      </c>
      <c r="N56" s="53" t="s">
        <v>386</v>
      </c>
      <c r="O56" s="66" t="s">
        <v>213</v>
      </c>
    </row>
    <row r="57" spans="2:15" ht="31" x14ac:dyDescent="0.35">
      <c r="B57" s="84">
        <f>IF(Table1[[#This Row],[TANGGAL]]="","",ROW(N53))</f>
        <v>53</v>
      </c>
      <c r="C57" s="85">
        <v>46030</v>
      </c>
      <c r="D57" s="86" t="s">
        <v>421</v>
      </c>
      <c r="E57" s="52" t="str">
        <f>INDEX(Table5[KATEGORI PROGRAM],MATCH(Table1[[#This Row],[NAMA PROGRAM]],Table5[NAMA PROGRAM],0))</f>
        <v>Respon Bencana (Recovery)</v>
      </c>
      <c r="F57" s="43" t="s">
        <v>420</v>
      </c>
      <c r="G57" s="87" t="s">
        <v>423</v>
      </c>
      <c r="H57" s="53" t="s">
        <v>424</v>
      </c>
      <c r="I57" s="53" t="str">
        <f>INDEX(Table2[Kecamatan],MATCH(Table1[[#This Row],[KELURAHAN / DESA]],Table2[Kelurahan],0))</f>
        <v>Tamiang Hulu</v>
      </c>
      <c r="J57" s="53" t="str">
        <f>INDEX(Table2[Kabupaten/Kota],MATCH(Table1[[#This Row],[KECAMATAN]],Table2[Kecamatan],0))</f>
        <v>Aceh Tamiang</v>
      </c>
      <c r="K57" s="86" t="str">
        <f>INDEX(Table2[Provinsi],MATCH(Table1[[#This Row],[KAB./KOTA]],Table2[Kabupaten/Kota],0))</f>
        <v>Nangroe Aceh Darussalam</v>
      </c>
      <c r="L57" s="44">
        <v>200</v>
      </c>
      <c r="M57" s="53" t="s">
        <v>427</v>
      </c>
      <c r="N57" s="53" t="s">
        <v>400</v>
      </c>
      <c r="O57" s="66" t="s">
        <v>225</v>
      </c>
    </row>
    <row r="58" spans="2:15" ht="29" x14ac:dyDescent="0.35">
      <c r="B58" s="84">
        <f>IF(Table1[[#This Row],[TANGGAL]]="","",ROW(N54))</f>
        <v>54</v>
      </c>
      <c r="C58" s="85">
        <v>46030</v>
      </c>
      <c r="D58" s="86" t="s">
        <v>9</v>
      </c>
      <c r="E58" s="52" t="str">
        <f>INDEX(Table5[KATEGORI PROGRAM],MATCH(Table1[[#This Row],[NAMA PROGRAM]],Table5[NAMA PROGRAM],0))</f>
        <v>Pangan</v>
      </c>
      <c r="F58" s="43" t="s">
        <v>387</v>
      </c>
      <c r="G58" s="87" t="s">
        <v>388</v>
      </c>
      <c r="H58" s="53" t="s">
        <v>38</v>
      </c>
      <c r="I58" s="53" t="str">
        <f>INDEX(Table2[Kecamatan],MATCH(Table1[[#This Row],[KELURAHAN / DESA]],Table2[Kelurahan],0))</f>
        <v>Bukit Kecil</v>
      </c>
      <c r="J58" s="53" t="str">
        <f>INDEX(Table2[Kabupaten/Kota],MATCH(Table1[[#This Row],[KECAMATAN]],Table2[Kecamatan],0))</f>
        <v>Palembang</v>
      </c>
      <c r="K58" s="86" t="str">
        <f>INDEX(Table2[Provinsi],MATCH(Table1[[#This Row],[KAB./KOTA]],Table2[Kabupaten/Kota],0))</f>
        <v>Sumatera Selatan</v>
      </c>
      <c r="L58" s="44">
        <v>154</v>
      </c>
      <c r="M58" s="53">
        <v>7</v>
      </c>
      <c r="N58" s="53" t="s">
        <v>389</v>
      </c>
      <c r="O58" s="66" t="s">
        <v>211</v>
      </c>
    </row>
    <row r="59" spans="2:15" ht="31" x14ac:dyDescent="0.35">
      <c r="B59" s="84">
        <f>IF(Table1[[#This Row],[TANGGAL]]="","",ROW(N55))</f>
        <v>55</v>
      </c>
      <c r="C59" s="85">
        <v>46030</v>
      </c>
      <c r="D59" s="86" t="s">
        <v>9</v>
      </c>
      <c r="E59" s="52" t="str">
        <f>INDEX(Table5[KATEGORI PROGRAM],MATCH(Table1[[#This Row],[NAMA PROGRAM]],Table5[NAMA PROGRAM],0))</f>
        <v>Pangan</v>
      </c>
      <c r="F59" s="43" t="s">
        <v>372</v>
      </c>
      <c r="G59" s="87" t="s">
        <v>381</v>
      </c>
      <c r="H59" s="53" t="s">
        <v>99</v>
      </c>
      <c r="I59" s="53" t="str">
        <f>INDEX(Table2[Kecamatan],MATCH(Table1[[#This Row],[KELURAHAN / DESA]],Table2[Kelurahan],0))</f>
        <v>Kertapati</v>
      </c>
      <c r="J59" s="53" t="str">
        <f>INDEX(Table2[Kabupaten/Kota],MATCH(Table1[[#This Row],[KECAMATAN]],Table2[Kecamatan],0))</f>
        <v>Palembang</v>
      </c>
      <c r="K59" s="86" t="str">
        <f>INDEX(Table2[Provinsi],MATCH(Table1[[#This Row],[KAB./KOTA]],Table2[Kabupaten/Kota],0))</f>
        <v>Sumatera Selatan</v>
      </c>
      <c r="L59" s="44">
        <v>39</v>
      </c>
      <c r="M59" s="53">
        <v>2</v>
      </c>
      <c r="N59" s="53" t="s">
        <v>378</v>
      </c>
      <c r="O59" s="66" t="s">
        <v>211</v>
      </c>
    </row>
    <row r="60" spans="2:15" ht="29" x14ac:dyDescent="0.35">
      <c r="B60" s="84">
        <f>IF(Table1[[#This Row],[TANGGAL]]="","",ROW(N56))</f>
        <v>56</v>
      </c>
      <c r="C60" s="85">
        <v>46030</v>
      </c>
      <c r="D60" s="86" t="s">
        <v>7</v>
      </c>
      <c r="E60" s="52" t="str">
        <f>INDEX(Table5[KATEGORI PROGRAM],MATCH(Table1[[#This Row],[NAMA PROGRAM]],Table5[NAMA PROGRAM],0))</f>
        <v>Pendidikan</v>
      </c>
      <c r="F60" s="43" t="s">
        <v>372</v>
      </c>
      <c r="G60" s="87" t="s">
        <v>242</v>
      </c>
      <c r="H60" s="53" t="s">
        <v>99</v>
      </c>
      <c r="I60" s="53" t="str">
        <f>INDEX(Table2[Kecamatan],MATCH(Table1[[#This Row],[KELURAHAN / DESA]],Table2[Kelurahan],0))</f>
        <v>Kertapati</v>
      </c>
      <c r="J60" s="53" t="str">
        <f>INDEX(Table2[Kabupaten/Kota],MATCH(Table1[[#This Row],[KECAMATAN]],Table2[Kecamatan],0))</f>
        <v>Palembang</v>
      </c>
      <c r="K60" s="86" t="str">
        <f>INDEX(Table2[Provinsi],MATCH(Table1[[#This Row],[KAB./KOTA]],Table2[Kabupaten/Kota],0))</f>
        <v>Sumatera Selatan</v>
      </c>
      <c r="L60" s="44">
        <v>51</v>
      </c>
      <c r="M60" s="53">
        <v>4</v>
      </c>
      <c r="N60" s="53" t="s">
        <v>243</v>
      </c>
      <c r="O60" s="66" t="s">
        <v>211</v>
      </c>
    </row>
    <row r="61" spans="2:15" ht="29" x14ac:dyDescent="0.35">
      <c r="B61" s="84">
        <f>IF(Table1[[#This Row],[TANGGAL]]="","",ROW(N57))</f>
        <v>57</v>
      </c>
      <c r="C61" s="85">
        <v>46030</v>
      </c>
      <c r="D61" s="86" t="s">
        <v>6</v>
      </c>
      <c r="E61" s="52" t="str">
        <f>INDEX(Table5[KATEGORI PROGRAM],MATCH(Table1[[#This Row],[NAMA PROGRAM]],Table5[NAMA PROGRAM],0))</f>
        <v>Pendidikan</v>
      </c>
      <c r="F61" s="43" t="s">
        <v>384</v>
      </c>
      <c r="G61" s="87" t="s">
        <v>247</v>
      </c>
      <c r="H61" s="53" t="s">
        <v>96</v>
      </c>
      <c r="I61" s="53" t="str">
        <f>INDEX(Table2[Kecamatan],MATCH(Table1[[#This Row],[KELURAHAN / DESA]],Table2[Kelurahan],0))</f>
        <v>Kertapati</v>
      </c>
      <c r="J61" s="53" t="str">
        <f>INDEX(Table2[Kabupaten/Kota],MATCH(Table1[[#This Row],[KECAMATAN]],Table2[Kecamatan],0))</f>
        <v>Palembang</v>
      </c>
      <c r="K61" s="86" t="str">
        <f>INDEX(Table2[Provinsi],MATCH(Table1[[#This Row],[KAB./KOTA]],Table2[Kabupaten/Kota],0))</f>
        <v>Sumatera Selatan</v>
      </c>
      <c r="L61" s="44">
        <v>36</v>
      </c>
      <c r="M61" s="53">
        <v>3</v>
      </c>
      <c r="N61" s="53" t="s">
        <v>248</v>
      </c>
      <c r="O61" s="66" t="s">
        <v>211</v>
      </c>
    </row>
    <row r="62" spans="2:15" ht="31" x14ac:dyDescent="0.35">
      <c r="B62" s="84">
        <f>IF(Table1[[#This Row],[TANGGAL]]="","",ROW(N58))</f>
        <v>58</v>
      </c>
      <c r="C62" s="85">
        <v>46031</v>
      </c>
      <c r="D62" s="86" t="s">
        <v>327</v>
      </c>
      <c r="E62" s="52" t="str">
        <f>INDEX(Table5[KATEGORI PROGRAM],MATCH(Table1[[#This Row],[NAMA PROGRAM]],Table5[NAMA PROGRAM],0))</f>
        <v>Respon Bencana (Recovery)</v>
      </c>
      <c r="F62" s="43" t="s">
        <v>485</v>
      </c>
      <c r="G62" s="87" t="s">
        <v>486</v>
      </c>
      <c r="H62" s="53" t="s">
        <v>484</v>
      </c>
      <c r="I62" s="53" t="str">
        <f>INDEX(Table2[Kecamatan],MATCH(Table1[[#This Row],[KELURAHAN / DESA]],Table2[Kelurahan],0))</f>
        <v>Karang baru</v>
      </c>
      <c r="J62" s="53" t="str">
        <f>INDEX(Table2[Kabupaten/Kota],MATCH(Table1[[#This Row],[KECAMATAN]],Table2[Kecamatan],0))</f>
        <v>Aceh Tamiang</v>
      </c>
      <c r="K62" s="86" t="str">
        <f>INDEX(Table2[Provinsi],MATCH(Table1[[#This Row],[KAB./KOTA]],Table2[Kabupaten/Kota],0))</f>
        <v>Nangroe Aceh Darussalam</v>
      </c>
      <c r="L62" s="44">
        <v>100</v>
      </c>
      <c r="M62" s="53" t="s">
        <v>340</v>
      </c>
      <c r="N62" s="53" t="s">
        <v>400</v>
      </c>
      <c r="O62" s="66" t="s">
        <v>225</v>
      </c>
    </row>
    <row r="63" spans="2:15" ht="46.5" x14ac:dyDescent="0.35">
      <c r="B63" s="84">
        <f>IF(Table1[[#This Row],[TANGGAL]]="","",ROW(N59))</f>
        <v>59</v>
      </c>
      <c r="C63" s="85">
        <v>46031</v>
      </c>
      <c r="D63" s="86" t="s">
        <v>327</v>
      </c>
      <c r="E63" s="52" t="str">
        <f>INDEX(Table5[KATEGORI PROGRAM],MATCH(Table1[[#This Row],[NAMA PROGRAM]],Table5[NAMA PROGRAM],0))</f>
        <v>Respon Bencana (Recovery)</v>
      </c>
      <c r="F63" s="43" t="s">
        <v>488</v>
      </c>
      <c r="G63" s="87" t="s">
        <v>487</v>
      </c>
      <c r="H63" s="53" t="s">
        <v>426</v>
      </c>
      <c r="I63" s="53" t="str">
        <f>INDEX(Table2[Kecamatan],MATCH(Table1[[#This Row],[KELURAHAN / DESA]],Table2[Kelurahan],0))</f>
        <v>Karang baru</v>
      </c>
      <c r="J63" s="53" t="str">
        <f>INDEX(Table2[Kabupaten/Kota],MATCH(Table1[[#This Row],[KECAMATAN]],Table2[Kecamatan],0))</f>
        <v>Aceh Tamiang</v>
      </c>
      <c r="K63" s="86" t="str">
        <f>INDEX(Table2[Provinsi],MATCH(Table1[[#This Row],[KAB./KOTA]],Table2[Kabupaten/Kota],0))</f>
        <v>Nangroe Aceh Darussalam</v>
      </c>
      <c r="L63" s="44">
        <v>28</v>
      </c>
      <c r="M63" s="53" t="s">
        <v>292</v>
      </c>
      <c r="N63" s="53" t="s">
        <v>400</v>
      </c>
      <c r="O63" s="66" t="s">
        <v>225</v>
      </c>
    </row>
    <row r="64" spans="2:15" ht="46.5" x14ac:dyDescent="0.35">
      <c r="B64" s="84">
        <f>IF(Table1[[#This Row],[TANGGAL]]="","",ROW(N60))</f>
        <v>60</v>
      </c>
      <c r="C64" s="85">
        <v>46031</v>
      </c>
      <c r="D64" s="86" t="s">
        <v>327</v>
      </c>
      <c r="E64" s="52" t="str">
        <f>INDEX(Table5[KATEGORI PROGRAM],MATCH(Table1[[#This Row],[NAMA PROGRAM]],Table5[NAMA PROGRAM],0))</f>
        <v>Respon Bencana (Recovery)</v>
      </c>
      <c r="F64" s="43" t="s">
        <v>488</v>
      </c>
      <c r="G64" s="87" t="s">
        <v>487</v>
      </c>
      <c r="H64" s="53" t="s">
        <v>426</v>
      </c>
      <c r="I64" s="53" t="str">
        <f>INDEX(Table2[Kecamatan],MATCH(Table1[[#This Row],[KELURAHAN / DESA]],Table2[Kelurahan],0))</f>
        <v>Karang baru</v>
      </c>
      <c r="J64" s="53" t="str">
        <f>INDEX(Table2[Kabupaten/Kota],MATCH(Table1[[#This Row],[KECAMATAN]],Table2[Kecamatan],0))</f>
        <v>Aceh Tamiang</v>
      </c>
      <c r="K64" s="86" t="str">
        <f>INDEX(Table2[Provinsi],MATCH(Table1[[#This Row],[KAB./KOTA]],Table2[Kabupaten/Kota],0))</f>
        <v>Nangroe Aceh Darussalam</v>
      </c>
      <c r="L64" s="44">
        <v>30</v>
      </c>
      <c r="M64" s="53" t="s">
        <v>340</v>
      </c>
      <c r="N64" s="53" t="s">
        <v>400</v>
      </c>
      <c r="O64" s="66" t="s">
        <v>225</v>
      </c>
    </row>
    <row r="65" spans="2:15" ht="31" x14ac:dyDescent="0.35">
      <c r="B65" s="84">
        <f>IF(Table1[[#This Row],[TANGGAL]]="","",ROW(N61))</f>
        <v>61</v>
      </c>
      <c r="C65" s="85">
        <v>46031</v>
      </c>
      <c r="D65" s="86" t="s">
        <v>9</v>
      </c>
      <c r="E65" s="52" t="str">
        <f>INDEX(Table5[KATEGORI PROGRAM],MATCH(Table1[[#This Row],[NAMA PROGRAM]],Table5[NAMA PROGRAM],0))</f>
        <v>Pangan</v>
      </c>
      <c r="F65" s="43" t="s">
        <v>379</v>
      </c>
      <c r="G65" s="87" t="s">
        <v>380</v>
      </c>
      <c r="H65" s="53" t="s">
        <v>96</v>
      </c>
      <c r="I65" s="53" t="str">
        <f>INDEX(Table2[Kecamatan],MATCH(Table1[[#This Row],[KELURAHAN / DESA]],Table2[Kelurahan],0))</f>
        <v>Kertapati</v>
      </c>
      <c r="J65" s="53" t="str">
        <f>INDEX(Table2[Kabupaten/Kota],MATCH(Table1[[#This Row],[KECAMATAN]],Table2[Kecamatan],0))</f>
        <v>Palembang</v>
      </c>
      <c r="K65" s="86" t="str">
        <f>INDEX(Table2[Provinsi],MATCH(Table1[[#This Row],[KAB./KOTA]],Table2[Kabupaten/Kota],0))</f>
        <v>Sumatera Selatan</v>
      </c>
      <c r="L65" s="44">
        <v>19</v>
      </c>
      <c r="M65" s="53">
        <v>1</v>
      </c>
      <c r="N65" s="53" t="s">
        <v>378</v>
      </c>
      <c r="O65" s="66" t="s">
        <v>211</v>
      </c>
    </row>
    <row r="66" spans="2:15" ht="31" x14ac:dyDescent="0.35">
      <c r="B66" s="84">
        <f>IF(Table1[[#This Row],[TANGGAL]]="","",ROW(N62))</f>
        <v>62</v>
      </c>
      <c r="C66" s="85">
        <v>46031</v>
      </c>
      <c r="D66" s="86" t="s">
        <v>9</v>
      </c>
      <c r="E66" s="52" t="str">
        <f>INDEX(Table5[KATEGORI PROGRAM],MATCH(Table1[[#This Row],[NAMA PROGRAM]],Table5[NAMA PROGRAM],0))</f>
        <v>Pangan</v>
      </c>
      <c r="F66" s="43" t="s">
        <v>372</v>
      </c>
      <c r="G66" s="87" t="s">
        <v>381</v>
      </c>
      <c r="H66" s="53" t="s">
        <v>99</v>
      </c>
      <c r="I66" s="53" t="str">
        <f>INDEX(Table2[Kecamatan],MATCH(Table1[[#This Row],[KELURAHAN / DESA]],Table2[Kelurahan],0))</f>
        <v>Kertapati</v>
      </c>
      <c r="J66" s="53" t="str">
        <f>INDEX(Table2[Kabupaten/Kota],MATCH(Table1[[#This Row],[KECAMATAN]],Table2[Kecamatan],0))</f>
        <v>Palembang</v>
      </c>
      <c r="K66" s="86" t="str">
        <f>INDEX(Table2[Provinsi],MATCH(Table1[[#This Row],[KAB./KOTA]],Table2[Kabupaten/Kota],0))</f>
        <v>Sumatera Selatan</v>
      </c>
      <c r="L66" s="44">
        <v>39</v>
      </c>
      <c r="M66" s="53">
        <v>2</v>
      </c>
      <c r="N66" s="53" t="s">
        <v>378</v>
      </c>
      <c r="O66" s="66" t="s">
        <v>211</v>
      </c>
    </row>
    <row r="67" spans="2:15" ht="29" x14ac:dyDescent="0.35">
      <c r="B67" s="84">
        <f>IF(Table1[[#This Row],[TANGGAL]]="","",ROW(N63))</f>
        <v>63</v>
      </c>
      <c r="C67" s="85">
        <v>46031</v>
      </c>
      <c r="D67" s="86" t="s">
        <v>9</v>
      </c>
      <c r="E67" s="52" t="str">
        <f>INDEX(Table5[KATEGORI PROGRAM],MATCH(Table1[[#This Row],[NAMA PROGRAM]],Table5[NAMA PROGRAM],0))</f>
        <v>Pangan</v>
      </c>
      <c r="F67" s="43" t="s">
        <v>372</v>
      </c>
      <c r="G67" s="87" t="s">
        <v>322</v>
      </c>
      <c r="H67" s="53" t="s">
        <v>99</v>
      </c>
      <c r="I67" s="53" t="str">
        <f>INDEX(Table2[Kecamatan],MATCH(Table1[[#This Row],[KELURAHAN / DESA]],Table2[Kelurahan],0))</f>
        <v>Kertapati</v>
      </c>
      <c r="J67" s="53" t="str">
        <f>INDEX(Table2[Kabupaten/Kota],MATCH(Table1[[#This Row],[KECAMATAN]],Table2[Kecamatan],0))</f>
        <v>Palembang</v>
      </c>
      <c r="K67" s="86" t="str">
        <f>INDEX(Table2[Provinsi],MATCH(Table1[[#This Row],[KAB./KOTA]],Table2[Kabupaten/Kota],0))</f>
        <v>Sumatera Selatan</v>
      </c>
      <c r="L67" s="44">
        <v>120</v>
      </c>
      <c r="M67" s="53">
        <v>5</v>
      </c>
      <c r="N67" s="53" t="s">
        <v>377</v>
      </c>
      <c r="O67" s="66" t="s">
        <v>214</v>
      </c>
    </row>
    <row r="68" spans="2:15" ht="29" x14ac:dyDescent="0.35">
      <c r="B68" s="84">
        <f>IF(Table1[[#This Row],[TANGGAL]]="","",ROW(N64))</f>
        <v>64</v>
      </c>
      <c r="C68" s="85">
        <v>46031</v>
      </c>
      <c r="D68" s="86" t="s">
        <v>9</v>
      </c>
      <c r="E68" s="52" t="str">
        <f>INDEX(Table5[KATEGORI PROGRAM],MATCH(Table1[[#This Row],[NAMA PROGRAM]],Table5[NAMA PROGRAM],0))</f>
        <v>Pangan</v>
      </c>
      <c r="F68" s="43" t="s">
        <v>392</v>
      </c>
      <c r="G68" s="87" t="s">
        <v>391</v>
      </c>
      <c r="H68" s="53" t="s">
        <v>99</v>
      </c>
      <c r="I68" s="53" t="str">
        <f>INDEX(Table2[Kecamatan],MATCH(Table1[[#This Row],[KELURAHAN / DESA]],Table2[Kelurahan],0))</f>
        <v>Kertapati</v>
      </c>
      <c r="J68" s="53" t="str">
        <f>INDEX(Table2[Kabupaten/Kota],MATCH(Table1[[#This Row],[KECAMATAN]],Table2[Kecamatan],0))</f>
        <v>Palembang</v>
      </c>
      <c r="K68" s="86" t="str">
        <f>INDEX(Table2[Provinsi],MATCH(Table1[[#This Row],[KAB./KOTA]],Table2[Kabupaten/Kota],0))</f>
        <v>Sumatera Selatan</v>
      </c>
      <c r="L68" s="44">
        <v>100</v>
      </c>
      <c r="M68" s="53">
        <v>6</v>
      </c>
      <c r="N68" s="53" t="s">
        <v>308</v>
      </c>
      <c r="O68" s="66" t="s">
        <v>214</v>
      </c>
    </row>
    <row r="69" spans="2:15" ht="29" x14ac:dyDescent="0.35">
      <c r="B69" s="84">
        <f>IF(Table1[[#This Row],[TANGGAL]]="","",ROW(N65))</f>
        <v>65</v>
      </c>
      <c r="C69" s="85">
        <v>46031</v>
      </c>
      <c r="D69" s="86" t="s">
        <v>9</v>
      </c>
      <c r="E69" s="52" t="str">
        <f>INDEX(Table5[KATEGORI PROGRAM],MATCH(Table1[[#This Row],[NAMA PROGRAM]],Table5[NAMA PROGRAM],0))</f>
        <v>Pangan</v>
      </c>
      <c r="F69" s="43" t="s">
        <v>390</v>
      </c>
      <c r="G69" s="87" t="s">
        <v>311</v>
      </c>
      <c r="H69" s="53" t="s">
        <v>167</v>
      </c>
      <c r="I69" s="53" t="str">
        <f>INDEX(Table2[Kecamatan],MATCH(Table1[[#This Row],[KELURAHAN / DESA]],Table2[Kelurahan],0))</f>
        <v>Talang Kelapa</v>
      </c>
      <c r="J69" s="53" t="str">
        <f>INDEX(Table2[Kabupaten/Kota],MATCH(Table1[[#This Row],[KECAMATAN]],Table2[Kecamatan],0))</f>
        <v>Banyuasin</v>
      </c>
      <c r="K69" s="86" t="str">
        <f>INDEX(Table2[Provinsi],MATCH(Table1[[#This Row],[KAB./KOTA]],Table2[Kabupaten/Kota],0))</f>
        <v>Sumatera Selatan</v>
      </c>
      <c r="L69" s="44">
        <v>150</v>
      </c>
      <c r="M69" s="53">
        <v>5</v>
      </c>
      <c r="N69" s="53" t="s">
        <v>308</v>
      </c>
      <c r="O69" s="66" t="s">
        <v>213</v>
      </c>
    </row>
    <row r="70" spans="2:15" ht="29" x14ac:dyDescent="0.35">
      <c r="B70" s="84">
        <f>IF(Table1[[#This Row],[TANGGAL]]="","",ROW(N66))</f>
        <v>66</v>
      </c>
      <c r="C70" s="85">
        <v>46031</v>
      </c>
      <c r="D70" s="86" t="s">
        <v>9</v>
      </c>
      <c r="E70" s="52" t="str">
        <f>INDEX(Table5[KATEGORI PROGRAM],MATCH(Table1[[#This Row],[NAMA PROGRAM]],Table5[NAMA PROGRAM],0))</f>
        <v>Pangan</v>
      </c>
      <c r="F70" s="43" t="s">
        <v>393</v>
      </c>
      <c r="G70" s="87" t="s">
        <v>293</v>
      </c>
      <c r="H70" s="53" t="s">
        <v>49</v>
      </c>
      <c r="I70" s="53" t="str">
        <f>INDEX(Table2[Kecamatan],MATCH(Table1[[#This Row],[KELURAHAN / DESA]],Table2[Kelurahan],0))</f>
        <v>Ilir Barat I</v>
      </c>
      <c r="J70" s="53" t="str">
        <f>INDEX(Table2[Kabupaten/Kota],MATCH(Table1[[#This Row],[KECAMATAN]],Table2[Kecamatan],0))</f>
        <v>Palembang</v>
      </c>
      <c r="K70" s="86" t="str">
        <f>INDEX(Table2[Provinsi],MATCH(Table1[[#This Row],[KAB./KOTA]],Table2[Kabupaten/Kota],0))</f>
        <v>Sumatera Selatan</v>
      </c>
      <c r="L70" s="44">
        <v>100</v>
      </c>
      <c r="M70" s="53">
        <v>6</v>
      </c>
      <c r="N70" s="53" t="s">
        <v>395</v>
      </c>
      <c r="O70" s="66" t="s">
        <v>214</v>
      </c>
    </row>
    <row r="71" spans="2:15" ht="31" x14ac:dyDescent="0.35">
      <c r="B71" s="84">
        <f>IF(Table1[[#This Row],[TANGGAL]]="","",ROW(N67))</f>
        <v>67</v>
      </c>
      <c r="C71" s="85">
        <v>46031</v>
      </c>
      <c r="D71" s="86" t="s">
        <v>20</v>
      </c>
      <c r="E71" s="52" t="str">
        <f>INDEX(Table5[KATEGORI PROGRAM],MATCH(Table1[[#This Row],[NAMA PROGRAM]],Table5[NAMA PROGRAM],0))</f>
        <v>Pangan</v>
      </c>
      <c r="F71" s="43" t="s">
        <v>372</v>
      </c>
      <c r="G71" s="87" t="s">
        <v>381</v>
      </c>
      <c r="H71" s="53" t="s">
        <v>99</v>
      </c>
      <c r="I71" s="53" t="str">
        <f>INDEX(Table2[Kecamatan],MATCH(Table1[[#This Row],[KELURAHAN / DESA]],Table2[Kelurahan],0))</f>
        <v>Kertapati</v>
      </c>
      <c r="J71" s="53" t="str">
        <f>INDEX(Table2[Kabupaten/Kota],MATCH(Table1[[#This Row],[KECAMATAN]],Table2[Kecamatan],0))</f>
        <v>Palembang</v>
      </c>
      <c r="K71" s="86" t="str">
        <f>INDEX(Table2[Provinsi],MATCH(Table1[[#This Row],[KAB./KOTA]],Table2[Kabupaten/Kota],0))</f>
        <v>Sumatera Selatan</v>
      </c>
      <c r="L71" s="44">
        <v>156</v>
      </c>
      <c r="M71" s="53" t="s">
        <v>396</v>
      </c>
      <c r="N71" s="53" t="s">
        <v>386</v>
      </c>
      <c r="O71" s="66" t="s">
        <v>218</v>
      </c>
    </row>
    <row r="72" spans="2:15" ht="29" x14ac:dyDescent="0.35">
      <c r="B72" s="84">
        <f>IF(Table1[[#This Row],[TANGGAL]]="","",ROW(N68))</f>
        <v>68</v>
      </c>
      <c r="C72" s="85">
        <v>46031</v>
      </c>
      <c r="D72" s="86" t="s">
        <v>0</v>
      </c>
      <c r="E72" s="52" t="str">
        <f>INDEX(Table5[KATEGORI PROGRAM],MATCH(Table1[[#This Row],[NAMA PROGRAM]],Table5[NAMA PROGRAM],0))</f>
        <v>Pangan</v>
      </c>
      <c r="F72" s="43" t="s">
        <v>393</v>
      </c>
      <c r="G72" s="87" t="s">
        <v>293</v>
      </c>
      <c r="H72" s="53" t="s">
        <v>49</v>
      </c>
      <c r="I72" s="53" t="str">
        <f>INDEX(Table2[Kecamatan],MATCH(Table1[[#This Row],[KELURAHAN / DESA]],Table2[Kelurahan],0))</f>
        <v>Ilir Barat I</v>
      </c>
      <c r="J72" s="53" t="str">
        <f>INDEX(Table2[Kabupaten/Kota],MATCH(Table1[[#This Row],[KECAMATAN]],Table2[Kecamatan],0))</f>
        <v>Palembang</v>
      </c>
      <c r="K72" s="86" t="str">
        <f>INDEX(Table2[Provinsi],MATCH(Table1[[#This Row],[KAB./KOTA]],Table2[Kabupaten/Kota],0))</f>
        <v>Sumatera Selatan</v>
      </c>
      <c r="L72" s="44">
        <v>100</v>
      </c>
      <c r="M72" s="53" t="s">
        <v>394</v>
      </c>
      <c r="N72" s="53" t="s">
        <v>395</v>
      </c>
      <c r="O72" s="66" t="s">
        <v>214</v>
      </c>
    </row>
    <row r="73" spans="2:15" ht="29" x14ac:dyDescent="0.35">
      <c r="B73" s="84">
        <f>IF(Table1[[#This Row],[TANGGAL]]="","",ROW(N69))</f>
        <v>69</v>
      </c>
      <c r="C73" s="85">
        <v>46031</v>
      </c>
      <c r="D73" s="86" t="s">
        <v>0</v>
      </c>
      <c r="E73" s="52" t="str">
        <f>INDEX(Table5[KATEGORI PROGRAM],MATCH(Table1[[#This Row],[NAMA PROGRAM]],Table5[NAMA PROGRAM],0))</f>
        <v>Pangan</v>
      </c>
      <c r="F73" s="43" t="s">
        <v>392</v>
      </c>
      <c r="G73" s="87" t="s">
        <v>391</v>
      </c>
      <c r="H73" s="53" t="s">
        <v>99</v>
      </c>
      <c r="I73" s="53" t="str">
        <f>INDEX(Table2[Kecamatan],MATCH(Table1[[#This Row],[KELURAHAN / DESA]],Table2[Kelurahan],0))</f>
        <v>Kertapati</v>
      </c>
      <c r="J73" s="53" t="str">
        <f>INDEX(Table2[Kabupaten/Kota],MATCH(Table1[[#This Row],[KECAMATAN]],Table2[Kecamatan],0))</f>
        <v>Palembang</v>
      </c>
      <c r="K73" s="86" t="str">
        <f>INDEX(Table2[Provinsi],MATCH(Table1[[#This Row],[KAB./KOTA]],Table2[Kabupaten/Kota],0))</f>
        <v>Sumatera Selatan</v>
      </c>
      <c r="L73" s="44">
        <v>100</v>
      </c>
      <c r="M73" s="53" t="s">
        <v>394</v>
      </c>
      <c r="N73" s="53" t="s">
        <v>308</v>
      </c>
      <c r="O73" s="66" t="s">
        <v>214</v>
      </c>
    </row>
    <row r="74" spans="2:15" ht="29" x14ac:dyDescent="0.35">
      <c r="B74" s="84">
        <f>IF(Table1[[#This Row],[TANGGAL]]="","",ROW(N70))</f>
        <v>70</v>
      </c>
      <c r="C74" s="85">
        <v>46031</v>
      </c>
      <c r="D74" s="86" t="s">
        <v>0</v>
      </c>
      <c r="E74" s="52" t="str">
        <f>INDEX(Table5[KATEGORI PROGRAM],MATCH(Table1[[#This Row],[NAMA PROGRAM]],Table5[NAMA PROGRAM],0))</f>
        <v>Pangan</v>
      </c>
      <c r="F74" s="43" t="s">
        <v>390</v>
      </c>
      <c r="G74" s="87" t="s">
        <v>311</v>
      </c>
      <c r="H74" s="53" t="s">
        <v>167</v>
      </c>
      <c r="I74" s="53" t="str">
        <f>INDEX(Table2[Kecamatan],MATCH(Table1[[#This Row],[KELURAHAN / DESA]],Table2[Kelurahan],0))</f>
        <v>Talang Kelapa</v>
      </c>
      <c r="J74" s="53" t="str">
        <f>INDEX(Table2[Kabupaten/Kota],MATCH(Table1[[#This Row],[KECAMATAN]],Table2[Kecamatan],0))</f>
        <v>Banyuasin</v>
      </c>
      <c r="K74" s="86" t="str">
        <f>INDEX(Table2[Provinsi],MATCH(Table1[[#This Row],[KAB./KOTA]],Table2[Kabupaten/Kota],0))</f>
        <v>Sumatera Selatan</v>
      </c>
      <c r="L74" s="44">
        <v>150</v>
      </c>
      <c r="M74" s="53" t="s">
        <v>307</v>
      </c>
      <c r="N74" s="53" t="s">
        <v>308</v>
      </c>
      <c r="O74" s="66" t="s">
        <v>213</v>
      </c>
    </row>
    <row r="75" spans="2:15" ht="29" x14ac:dyDescent="0.35">
      <c r="B75" s="84">
        <f>IF(Table1[[#This Row],[TANGGAL]]="","",ROW(N71))</f>
        <v>71</v>
      </c>
      <c r="C75" s="85">
        <v>46031</v>
      </c>
      <c r="D75" s="86" t="s">
        <v>0</v>
      </c>
      <c r="E75" s="52" t="str">
        <f>INDEX(Table5[KATEGORI PROGRAM],MATCH(Table1[[#This Row],[NAMA PROGRAM]],Table5[NAMA PROGRAM],0))</f>
        <v>Pangan</v>
      </c>
      <c r="F75" s="43" t="s">
        <v>372</v>
      </c>
      <c r="G75" s="87" t="s">
        <v>322</v>
      </c>
      <c r="H75" s="53" t="s">
        <v>99</v>
      </c>
      <c r="I75" s="53" t="str">
        <f>INDEX(Table2[Kecamatan],MATCH(Table1[[#This Row],[KELURAHAN / DESA]],Table2[Kelurahan],0))</f>
        <v>Kertapati</v>
      </c>
      <c r="J75" s="53" t="str">
        <f>INDEX(Table2[Kabupaten/Kota],MATCH(Table1[[#This Row],[KECAMATAN]],Table2[Kecamatan],0))</f>
        <v>Palembang</v>
      </c>
      <c r="K75" s="86" t="str">
        <f>INDEX(Table2[Provinsi],MATCH(Table1[[#This Row],[KAB./KOTA]],Table2[Kabupaten/Kota],0))</f>
        <v>Sumatera Selatan</v>
      </c>
      <c r="L75" s="44">
        <v>120</v>
      </c>
      <c r="M75" s="53" t="s">
        <v>307</v>
      </c>
      <c r="N75" s="53" t="s">
        <v>377</v>
      </c>
      <c r="O75" s="66" t="s">
        <v>214</v>
      </c>
    </row>
    <row r="76" spans="2:15" ht="29" x14ac:dyDescent="0.35">
      <c r="B76" s="84">
        <f>IF(Table1[[#This Row],[TANGGAL]]="","",ROW(N72))</f>
        <v>72</v>
      </c>
      <c r="C76" s="85">
        <v>46032</v>
      </c>
      <c r="D76" s="86" t="s">
        <v>3</v>
      </c>
      <c r="E76" s="52" t="str">
        <f>INDEX(Table5[KATEGORI PROGRAM],MATCH(Table1[[#This Row],[NAMA PROGRAM]],Table5[NAMA PROGRAM],0))</f>
        <v>Pendidikan</v>
      </c>
      <c r="F76" s="43" t="s">
        <v>373</v>
      </c>
      <c r="G76" s="87" t="s">
        <v>3</v>
      </c>
      <c r="H76" s="53" t="s">
        <v>82</v>
      </c>
      <c r="I76" s="53" t="str">
        <f>INDEX(Table2[Kecamatan],MATCH(Table1[[#This Row],[KELURAHAN / DESA]],Table2[Kelurahan],0))</f>
        <v>Jakabaring</v>
      </c>
      <c r="J76" s="53" t="str">
        <f>INDEX(Table2[Kabupaten/Kota],MATCH(Table1[[#This Row],[KECAMATAN]],Table2[Kecamatan],0))</f>
        <v>Palembang</v>
      </c>
      <c r="K76" s="86" t="str">
        <f>INDEX(Table2[Provinsi],MATCH(Table1[[#This Row],[KAB./KOTA]],Table2[Kabupaten/Kota],0))</f>
        <v>Sumatera Selatan</v>
      </c>
      <c r="L76" s="44">
        <v>13</v>
      </c>
      <c r="M76" s="53">
        <v>2</v>
      </c>
      <c r="N76" s="53" t="s">
        <v>249</v>
      </c>
      <c r="O76" s="66" t="s">
        <v>211</v>
      </c>
    </row>
    <row r="77" spans="2:15" ht="31" x14ac:dyDescent="0.35">
      <c r="B77" s="84">
        <f>IF(Table1[[#This Row],[TANGGAL]]="","",ROW(N73))</f>
        <v>73</v>
      </c>
      <c r="C77" s="85">
        <v>46032</v>
      </c>
      <c r="D77" s="86" t="s">
        <v>260</v>
      </c>
      <c r="E77" s="52" t="str">
        <f>INDEX(Table5[KATEGORI PROGRAM],MATCH(Table1[[#This Row],[NAMA PROGRAM]],Table5[NAMA PROGRAM],0))</f>
        <v>Respon Bencana (Recovery)</v>
      </c>
      <c r="F77" s="43" t="s">
        <v>454</v>
      </c>
      <c r="G77" s="87" t="s">
        <v>455</v>
      </c>
      <c r="H77" s="53" t="s">
        <v>456</v>
      </c>
      <c r="I77" s="53" t="str">
        <f>INDEX(Table2[Kecamatan],MATCH(Table1[[#This Row],[KELURAHAN / DESA]],Table2[Kelurahan],0))</f>
        <v>Sekerak</v>
      </c>
      <c r="J77" s="53" t="str">
        <f>INDEX(Table2[Kabupaten/Kota],MATCH(Table1[[#This Row],[KECAMATAN]],Table2[Kecamatan],0))</f>
        <v>Aceh Tamiang</v>
      </c>
      <c r="K77" s="86" t="str">
        <f>INDEX(Table2[Provinsi],MATCH(Table1[[#This Row],[KAB./KOTA]],Table2[Kabupaten/Kota],0))</f>
        <v>Nangroe Aceh Darussalam</v>
      </c>
      <c r="L77" s="44">
        <v>50</v>
      </c>
      <c r="M77" s="53" t="s">
        <v>491</v>
      </c>
      <c r="N77" s="53" t="s">
        <v>400</v>
      </c>
      <c r="O77" s="66" t="s">
        <v>225</v>
      </c>
    </row>
    <row r="78" spans="2:15" ht="29" x14ac:dyDescent="0.35">
      <c r="B78" s="84">
        <f>IF(Table1[[#This Row],[TANGGAL]]="","",ROW(N74))</f>
        <v>74</v>
      </c>
      <c r="C78" s="85">
        <v>46032</v>
      </c>
      <c r="D78" s="86" t="s">
        <v>7</v>
      </c>
      <c r="E78" s="52" t="str">
        <f>INDEX(Table5[KATEGORI PROGRAM],MATCH(Table1[[#This Row],[NAMA PROGRAM]],Table5[NAMA PROGRAM],0))</f>
        <v>Pendidikan</v>
      </c>
      <c r="F78" s="43" t="s">
        <v>372</v>
      </c>
      <c r="G78" s="87" t="s">
        <v>242</v>
      </c>
      <c r="H78" s="53" t="s">
        <v>99</v>
      </c>
      <c r="I78" s="53" t="str">
        <f>INDEX(Table2[Kecamatan],MATCH(Table1[[#This Row],[KELURAHAN / DESA]],Table2[Kelurahan],0))</f>
        <v>Kertapati</v>
      </c>
      <c r="J78" s="53" t="str">
        <f>INDEX(Table2[Kabupaten/Kota],MATCH(Table1[[#This Row],[KECAMATAN]],Table2[Kecamatan],0))</f>
        <v>Palembang</v>
      </c>
      <c r="K78" s="86" t="str">
        <f>INDEX(Table2[Provinsi],MATCH(Table1[[#This Row],[KAB./KOTA]],Table2[Kabupaten/Kota],0))</f>
        <v>Sumatera Selatan</v>
      </c>
      <c r="L78" s="44">
        <v>48</v>
      </c>
      <c r="M78" s="53">
        <v>4</v>
      </c>
      <c r="N78" s="53" t="s">
        <v>243</v>
      </c>
      <c r="O78" s="66" t="s">
        <v>211</v>
      </c>
    </row>
    <row r="79" spans="2:15" ht="29" x14ac:dyDescent="0.35">
      <c r="B79" s="84">
        <f>IF(Table1[[#This Row],[TANGGAL]]="","",ROW(N75))</f>
        <v>75</v>
      </c>
      <c r="C79" s="85">
        <v>46032</v>
      </c>
      <c r="D79" s="86" t="s">
        <v>9</v>
      </c>
      <c r="E79" s="52" t="str">
        <f>INDEX(Table5[KATEGORI PROGRAM],MATCH(Table1[[#This Row],[NAMA PROGRAM]],Table5[NAMA PROGRAM],0))</f>
        <v>Pangan</v>
      </c>
      <c r="F79" s="43" t="s">
        <v>462</v>
      </c>
      <c r="G79" s="87" t="s">
        <v>463</v>
      </c>
      <c r="H79" s="53" t="s">
        <v>159</v>
      </c>
      <c r="I79" s="53" t="str">
        <f>INDEX(Table2[Kecamatan],MATCH(Table1[[#This Row],[KELURAHAN / DESA]],Table2[Kelurahan],0))</f>
        <v>Pemulutan</v>
      </c>
      <c r="J79" s="53" t="str">
        <f>INDEX(Table2[Kabupaten/Kota],MATCH(Table1[[#This Row],[KECAMATAN]],Table2[Kecamatan],0))</f>
        <v>Ogan Ilir</v>
      </c>
      <c r="K79" s="86" t="str">
        <f>INDEX(Table2[Provinsi],MATCH(Table1[[#This Row],[KAB./KOTA]],Table2[Kabupaten/Kota],0))</f>
        <v>Sumatera Selatan</v>
      </c>
      <c r="L79" s="44">
        <v>150</v>
      </c>
      <c r="M79" s="53">
        <v>7</v>
      </c>
      <c r="N79" s="53" t="s">
        <v>389</v>
      </c>
      <c r="O79" s="66" t="s">
        <v>211</v>
      </c>
    </row>
    <row r="80" spans="2:15" ht="31" x14ac:dyDescent="0.35">
      <c r="B80" s="84">
        <f>IF(Table1[[#This Row],[TANGGAL]]="","",ROW(N76))</f>
        <v>76</v>
      </c>
      <c r="C80" s="85">
        <v>46032</v>
      </c>
      <c r="D80" s="86" t="s">
        <v>489</v>
      </c>
      <c r="E80" s="52" t="str">
        <f>INDEX(Table5[KATEGORI PROGRAM],MATCH(Table1[[#This Row],[NAMA PROGRAM]],Table5[NAMA PROGRAM],0))</f>
        <v>Respon Bencana (Recovery)</v>
      </c>
      <c r="F80" s="43" t="s">
        <v>481</v>
      </c>
      <c r="G80" s="87" t="s">
        <v>482</v>
      </c>
      <c r="H80" s="53" t="s">
        <v>483</v>
      </c>
      <c r="I80" s="53" t="str">
        <f>INDEX(Table2[Kecamatan],MATCH(Table1[[#This Row],[KELURAHAN / DESA]],Table2[Kelurahan],0))</f>
        <v>Kejuruan Muda</v>
      </c>
      <c r="J80" s="53" t="str">
        <f>INDEX(Table2[Kabupaten/Kota],MATCH(Table1[[#This Row],[KECAMATAN]],Table2[Kecamatan],0))</f>
        <v>Aceh Tamiang</v>
      </c>
      <c r="K80" s="86" t="str">
        <f>INDEX(Table2[Provinsi],MATCH(Table1[[#This Row],[KAB./KOTA]],Table2[Kabupaten/Kota],0))</f>
        <v>Nangroe Aceh Darussalam</v>
      </c>
      <c r="L80" s="44">
        <v>100</v>
      </c>
      <c r="M80" s="53" t="s">
        <v>490</v>
      </c>
      <c r="N80" s="53" t="s">
        <v>400</v>
      </c>
      <c r="O80" s="66" t="s">
        <v>225</v>
      </c>
    </row>
    <row r="81" spans="2:15" ht="29" x14ac:dyDescent="0.35">
      <c r="B81" s="84">
        <f>IF(Table1[[#This Row],[TANGGAL]]="","",ROW(N77))</f>
        <v>77</v>
      </c>
      <c r="C81" s="85">
        <v>46032</v>
      </c>
      <c r="D81" s="86" t="s">
        <v>6</v>
      </c>
      <c r="E81" s="88" t="str">
        <f>INDEX(Table5[KATEGORI PROGRAM],MATCH(Table1[[#This Row],[NAMA PROGRAM]],Table5[NAMA PROGRAM],0))</f>
        <v>Pendidikan</v>
      </c>
      <c r="F81" s="43" t="s">
        <v>384</v>
      </c>
      <c r="G81" s="87" t="s">
        <v>247</v>
      </c>
      <c r="H81" s="53" t="s">
        <v>96</v>
      </c>
      <c r="I81" s="53" t="str">
        <f>INDEX(Table2[Kecamatan],MATCH(Table1[[#This Row],[KELURAHAN / DESA]],Table2[Kelurahan],0))</f>
        <v>Kertapati</v>
      </c>
      <c r="J81" s="53" t="str">
        <f>INDEX(Table2[Kabupaten/Kota],MATCH(Table1[[#This Row],[KECAMATAN]],Table2[Kecamatan],0))</f>
        <v>Palembang</v>
      </c>
      <c r="K81" s="86" t="str">
        <f>INDEX(Table2[Provinsi],MATCH(Table1[[#This Row],[KAB./KOTA]],Table2[Kabupaten/Kota],0))</f>
        <v>Sumatera Selatan</v>
      </c>
      <c r="L81" s="44">
        <v>48</v>
      </c>
      <c r="M81" s="53">
        <v>5</v>
      </c>
      <c r="N81" s="53" t="s">
        <v>248</v>
      </c>
      <c r="O81" s="66" t="s">
        <v>211</v>
      </c>
    </row>
    <row r="82" spans="2:15" ht="31" x14ac:dyDescent="0.35">
      <c r="B82" s="84">
        <f>IF(Table1[[#This Row],[TANGGAL]]="","",ROW(N78))</f>
        <v>78</v>
      </c>
      <c r="C82" s="85">
        <v>46033</v>
      </c>
      <c r="D82" s="86" t="s">
        <v>346</v>
      </c>
      <c r="E82" s="52" t="str">
        <f>INDEX(Table5[KATEGORI PROGRAM],MATCH(Table1[[#This Row],[NAMA PROGRAM]],Table5[NAMA PROGRAM],0))</f>
        <v>Respon Bencana (Psikososial)</v>
      </c>
      <c r="F82" s="43" t="s">
        <v>454</v>
      </c>
      <c r="G82" s="87" t="s">
        <v>455</v>
      </c>
      <c r="H82" s="53" t="s">
        <v>456</v>
      </c>
      <c r="I82" s="53" t="str">
        <f>INDEX(Table2[Kecamatan],MATCH(Table1[[#This Row],[KELURAHAN / DESA]],Table2[Kelurahan],0))</f>
        <v>Sekerak</v>
      </c>
      <c r="J82" s="53" t="str">
        <f>INDEX(Table2[Kabupaten/Kota],MATCH(Table1[[#This Row],[KECAMATAN]],Table2[Kecamatan],0))</f>
        <v>Aceh Tamiang</v>
      </c>
      <c r="K82" s="86" t="str">
        <f>INDEX(Table2[Provinsi],MATCH(Table1[[#This Row],[KAB./KOTA]],Table2[Kabupaten/Kota],0))</f>
        <v>Nangroe Aceh Darussalam</v>
      </c>
      <c r="L82" s="44">
        <v>30</v>
      </c>
      <c r="M82" s="53" t="s">
        <v>318</v>
      </c>
      <c r="N82" s="53" t="s">
        <v>400</v>
      </c>
      <c r="O82" s="66" t="s">
        <v>225</v>
      </c>
    </row>
    <row r="83" spans="2:15" ht="31" x14ac:dyDescent="0.35">
      <c r="B83" s="84">
        <f>IF(Table1[[#This Row],[TANGGAL]]="","",ROW(N79))</f>
        <v>79</v>
      </c>
      <c r="C83" s="85">
        <v>46033</v>
      </c>
      <c r="D83" s="86" t="s">
        <v>329</v>
      </c>
      <c r="E83" s="52" t="str">
        <f>INDEX(Table5[KATEGORI PROGRAM],MATCH(Table1[[#This Row],[NAMA PROGRAM]],Table5[NAMA PROGRAM],0))</f>
        <v>Respon Bencana (Recovery)</v>
      </c>
      <c r="F83" s="43" t="s">
        <v>435</v>
      </c>
      <c r="G83" s="87" t="s">
        <v>433</v>
      </c>
      <c r="H83" s="53" t="s">
        <v>334</v>
      </c>
      <c r="I83" s="53" t="str">
        <f>INDEX(Table2[Kecamatan],MATCH(Table1[[#This Row],[KELURAHAN / DESA]],Table2[Kelurahan],0))</f>
        <v>Rantau</v>
      </c>
      <c r="J83" s="53" t="str">
        <f>INDEX(Table2[Kabupaten/Kota],MATCH(Table1[[#This Row],[KECAMATAN]],Table2[Kecamatan],0))</f>
        <v>Aceh Tamiang</v>
      </c>
      <c r="K83" s="86" t="str">
        <f>INDEX(Table2[Provinsi],MATCH(Table1[[#This Row],[KAB./KOTA]],Table2[Kabupaten/Kota],0))</f>
        <v>Nangroe Aceh Darussalam</v>
      </c>
      <c r="L83" s="44">
        <v>71</v>
      </c>
      <c r="M83" s="53" t="s">
        <v>492</v>
      </c>
      <c r="N83" s="53" t="s">
        <v>400</v>
      </c>
      <c r="O83" s="66" t="s">
        <v>225</v>
      </c>
    </row>
    <row r="84" spans="2:15" ht="31" x14ac:dyDescent="0.35">
      <c r="B84" s="84">
        <f>IF(Table1[[#This Row],[TANGGAL]]="","",ROW(N80))</f>
        <v>80</v>
      </c>
      <c r="C84" s="85">
        <v>46033</v>
      </c>
      <c r="D84" s="86" t="s">
        <v>329</v>
      </c>
      <c r="E84" s="52" t="str">
        <f>INDEX(Table5[KATEGORI PROGRAM],MATCH(Table1[[#This Row],[NAMA PROGRAM]],Table5[NAMA PROGRAM],0))</f>
        <v>Respon Bencana (Recovery)</v>
      </c>
      <c r="F84" s="43" t="s">
        <v>494</v>
      </c>
      <c r="G84" s="87" t="s">
        <v>493</v>
      </c>
      <c r="H84" s="53" t="s">
        <v>316</v>
      </c>
      <c r="I84" s="53" t="str">
        <f>INDEX(Table2[Kecamatan],MATCH(Table1[[#This Row],[KELURAHAN / DESA]],Table2[Kelurahan],0))</f>
        <v>Kejuruan Muda</v>
      </c>
      <c r="J84" s="53" t="str">
        <f>INDEX(Table2[Kabupaten/Kota],MATCH(Table1[[#This Row],[KECAMATAN]],Table2[Kecamatan],0))</f>
        <v>Aceh Tamiang</v>
      </c>
      <c r="K84" s="86" t="str">
        <f>INDEX(Table2[Provinsi],MATCH(Table1[[#This Row],[KAB./KOTA]],Table2[Kabupaten/Kota],0))</f>
        <v>Nangroe Aceh Darussalam</v>
      </c>
      <c r="L84" s="44">
        <v>90</v>
      </c>
      <c r="M84" s="53" t="s">
        <v>495</v>
      </c>
      <c r="N84" s="53" t="s">
        <v>400</v>
      </c>
      <c r="O84" s="66" t="s">
        <v>225</v>
      </c>
    </row>
    <row r="85" spans="2:15" ht="31" x14ac:dyDescent="0.35">
      <c r="B85" s="84">
        <f>IF(Table1[[#This Row],[TANGGAL]]="","",ROW(N81))</f>
        <v>81</v>
      </c>
      <c r="C85" s="85">
        <v>46033</v>
      </c>
      <c r="D85" s="86" t="s">
        <v>276</v>
      </c>
      <c r="E85" s="52" t="str">
        <f>INDEX(Table5[KATEGORI PROGRAM],MATCH(Table1[[#This Row],[NAMA PROGRAM]],Table5[NAMA PROGRAM],0))</f>
        <v>Respon Bencana (Bantuan Kesehatan)</v>
      </c>
      <c r="F85" s="43" t="s">
        <v>454</v>
      </c>
      <c r="G85" s="87" t="s">
        <v>455</v>
      </c>
      <c r="H85" s="53" t="s">
        <v>456</v>
      </c>
      <c r="I85" s="53" t="str">
        <f>INDEX(Table2[Kecamatan],MATCH(Table1[[#This Row],[KELURAHAN / DESA]],Table2[Kelurahan],0))</f>
        <v>Sekerak</v>
      </c>
      <c r="J85" s="53" t="str">
        <f>INDEX(Table2[Kabupaten/Kota],MATCH(Table1[[#This Row],[KECAMATAN]],Table2[Kecamatan],0))</f>
        <v>Aceh Tamiang</v>
      </c>
      <c r="K85" s="86" t="str">
        <f>INDEX(Table2[Provinsi],MATCH(Table1[[#This Row],[KAB./KOTA]],Table2[Kabupaten/Kota],0))</f>
        <v>Nangroe Aceh Darussalam</v>
      </c>
      <c r="L85" s="44">
        <v>40</v>
      </c>
      <c r="M85" s="53" t="s">
        <v>286</v>
      </c>
      <c r="N85" s="53" t="s">
        <v>400</v>
      </c>
      <c r="O85" s="66" t="s">
        <v>225</v>
      </c>
    </row>
    <row r="86" spans="2:15" ht="31" x14ac:dyDescent="0.35">
      <c r="B86" s="84">
        <f>IF(Table1[[#This Row],[TANGGAL]]="","",ROW(N82))</f>
        <v>82</v>
      </c>
      <c r="C86" s="85">
        <v>46033</v>
      </c>
      <c r="D86" s="86" t="s">
        <v>165</v>
      </c>
      <c r="E86" s="52" t="str">
        <f>INDEX(Table5[KATEGORI PROGRAM],MATCH(Table1[[#This Row],[NAMA PROGRAM]],Table5[NAMA PROGRAM],0))</f>
        <v>Event Sosial</v>
      </c>
      <c r="F86" s="43" t="s">
        <v>464</v>
      </c>
      <c r="G86" s="87" t="s">
        <v>465</v>
      </c>
      <c r="H86" s="53" t="s">
        <v>104</v>
      </c>
      <c r="I86" s="53" t="str">
        <f>INDEX(Table2[Kecamatan],MATCH(Table1[[#This Row],[KELURAHAN / DESA]],Table2[Kelurahan],0))</f>
        <v>Plaju</v>
      </c>
      <c r="J86" s="53" t="str">
        <f>INDEX(Table2[Kabupaten/Kota],MATCH(Table1[[#This Row],[KECAMATAN]],Table2[Kecamatan],0))</f>
        <v>Palembang</v>
      </c>
      <c r="K86" s="86" t="str">
        <f>INDEX(Table2[Provinsi],MATCH(Table1[[#This Row],[KAB./KOTA]],Table2[Kabupaten/Kota],0))</f>
        <v>Sumatera Selatan</v>
      </c>
      <c r="L86" s="44">
        <v>450</v>
      </c>
      <c r="M86" s="53">
        <v>31</v>
      </c>
      <c r="N86" s="53" t="s">
        <v>466</v>
      </c>
      <c r="O86" s="66" t="s">
        <v>225</v>
      </c>
    </row>
    <row r="87" spans="2:15" ht="31" x14ac:dyDescent="0.35">
      <c r="B87" s="84">
        <f>IF(Table1[[#This Row],[TANGGAL]]="","",ROW(N83))</f>
        <v>83</v>
      </c>
      <c r="C87" s="85">
        <v>46033</v>
      </c>
      <c r="D87" s="86" t="s">
        <v>260</v>
      </c>
      <c r="E87" s="52" t="str">
        <f>INDEX(Table5[KATEGORI PROGRAM],MATCH(Table1[[#This Row],[NAMA PROGRAM]],Table5[NAMA PROGRAM],0))</f>
        <v>Respon Bencana (Recovery)</v>
      </c>
      <c r="F87" s="43" t="s">
        <v>435</v>
      </c>
      <c r="G87" s="87" t="s">
        <v>433</v>
      </c>
      <c r="H87" s="53" t="s">
        <v>334</v>
      </c>
      <c r="I87" s="53" t="str">
        <f>INDEX(Table2[Kecamatan],MATCH(Table1[[#This Row],[KELURAHAN / DESA]],Table2[Kelurahan],0))</f>
        <v>Rantau</v>
      </c>
      <c r="J87" s="53" t="str">
        <f>INDEX(Table2[Kabupaten/Kota],MATCH(Table1[[#This Row],[KECAMATAN]],Table2[Kecamatan],0))</f>
        <v>Aceh Tamiang</v>
      </c>
      <c r="K87" s="86" t="str">
        <f>INDEX(Table2[Provinsi],MATCH(Table1[[#This Row],[KAB./KOTA]],Table2[Kabupaten/Kota],0))</f>
        <v>Nangroe Aceh Darussalam</v>
      </c>
      <c r="L87" s="44">
        <v>26</v>
      </c>
      <c r="M87" s="53" t="s">
        <v>491</v>
      </c>
      <c r="N87" s="53" t="s">
        <v>400</v>
      </c>
      <c r="O87" s="66" t="s">
        <v>225</v>
      </c>
    </row>
    <row r="88" spans="2:15" ht="31" x14ac:dyDescent="0.35">
      <c r="B88" s="84">
        <f>IF(Table1[[#This Row],[TANGGAL]]="","",ROW(N84))</f>
        <v>84</v>
      </c>
      <c r="C88" s="85">
        <v>46034</v>
      </c>
      <c r="D88" s="86" t="s">
        <v>346</v>
      </c>
      <c r="E88" s="52" t="str">
        <f>INDEX(Table5[KATEGORI PROGRAM],MATCH(Table1[[#This Row],[NAMA PROGRAM]],Table5[NAMA PROGRAM],0))</f>
        <v>Respon Bencana (Psikososial)</v>
      </c>
      <c r="F88" s="43" t="s">
        <v>496</v>
      </c>
      <c r="G88" s="87" t="s">
        <v>497</v>
      </c>
      <c r="H88" s="53" t="s">
        <v>336</v>
      </c>
      <c r="I88" s="53" t="str">
        <f>INDEX(Table2[Kecamatan],MATCH(Table1[[#This Row],[KELURAHAN / DESA]],Table2[Kelurahan],0))</f>
        <v>Karang baru</v>
      </c>
      <c r="J88" s="53" t="str">
        <f>INDEX(Table2[Kabupaten/Kota],MATCH(Table1[[#This Row],[KECAMATAN]],Table2[Kecamatan],0))</f>
        <v>Aceh Tamiang</v>
      </c>
      <c r="K88" s="86" t="str">
        <f>INDEX(Table2[Provinsi],MATCH(Table1[[#This Row],[KAB./KOTA]],Table2[Kabupaten/Kota],0))</f>
        <v>Nangroe Aceh Darussalam</v>
      </c>
      <c r="L88" s="44">
        <v>35</v>
      </c>
      <c r="M88" s="53" t="s">
        <v>318</v>
      </c>
      <c r="N88" s="53" t="s">
        <v>400</v>
      </c>
      <c r="O88" s="66" t="s">
        <v>225</v>
      </c>
    </row>
    <row r="89" spans="2:15" ht="31" x14ac:dyDescent="0.35">
      <c r="B89" s="84">
        <f>IF(Table1[[#This Row],[TANGGAL]]="","",ROW(N85))</f>
        <v>85</v>
      </c>
      <c r="C89" s="85">
        <v>46034</v>
      </c>
      <c r="D89" s="86" t="s">
        <v>327</v>
      </c>
      <c r="E89" s="52" t="str">
        <f>INDEX(Table5[KATEGORI PROGRAM],MATCH(Table1[[#This Row],[NAMA PROGRAM]],Table5[NAMA PROGRAM],0))</f>
        <v>Respon Bencana (Recovery)</v>
      </c>
      <c r="F89" s="43" t="s">
        <v>496</v>
      </c>
      <c r="G89" s="87" t="s">
        <v>497</v>
      </c>
      <c r="H89" s="53" t="s">
        <v>336</v>
      </c>
      <c r="I89" s="53" t="str">
        <f>INDEX(Table2[Kecamatan],MATCH(Table1[[#This Row],[KELURAHAN / DESA]],Table2[Kelurahan],0))</f>
        <v>Karang baru</v>
      </c>
      <c r="J89" s="53" t="str">
        <f>INDEX(Table2[Kabupaten/Kota],MATCH(Table1[[#This Row],[KECAMATAN]],Table2[Kecamatan],0))</f>
        <v>Aceh Tamiang</v>
      </c>
      <c r="K89" s="86" t="str">
        <f>INDEX(Table2[Provinsi],MATCH(Table1[[#This Row],[KAB./KOTA]],Table2[Kabupaten/Kota],0))</f>
        <v>Nangroe Aceh Darussalam</v>
      </c>
      <c r="L89" s="44">
        <v>30</v>
      </c>
      <c r="M89" s="53" t="s">
        <v>292</v>
      </c>
      <c r="N89" s="53" t="s">
        <v>400</v>
      </c>
      <c r="O89" s="66" t="s">
        <v>225</v>
      </c>
    </row>
    <row r="90" spans="2:15" ht="31" x14ac:dyDescent="0.35">
      <c r="B90" s="84">
        <f>IF(Table1[[#This Row],[TANGGAL]]="","",ROW(N86))</f>
        <v>86</v>
      </c>
      <c r="C90" s="85">
        <v>46034</v>
      </c>
      <c r="D90" s="86" t="s">
        <v>327</v>
      </c>
      <c r="E90" s="52" t="str">
        <f>INDEX(Table5[KATEGORI PROGRAM],MATCH(Table1[[#This Row],[NAMA PROGRAM]],Table5[NAMA PROGRAM],0))</f>
        <v>Respon Bencana (Recovery)</v>
      </c>
      <c r="F90" s="43" t="s">
        <v>496</v>
      </c>
      <c r="G90" s="87" t="s">
        <v>497</v>
      </c>
      <c r="H90" s="53" t="s">
        <v>336</v>
      </c>
      <c r="I90" s="53" t="str">
        <f>INDEX(Table2[Kecamatan],MATCH(Table1[[#This Row],[KELURAHAN / DESA]],Table2[Kelurahan],0))</f>
        <v>Karang baru</v>
      </c>
      <c r="J90" s="53" t="str">
        <f>INDEX(Table2[Kabupaten/Kota],MATCH(Table1[[#This Row],[KECAMATAN]],Table2[Kecamatan],0))</f>
        <v>Aceh Tamiang</v>
      </c>
      <c r="K90" s="86" t="str">
        <f>INDEX(Table2[Provinsi],MATCH(Table1[[#This Row],[KAB./KOTA]],Table2[Kabupaten/Kota],0))</f>
        <v>Nangroe Aceh Darussalam</v>
      </c>
      <c r="L90" s="44">
        <v>40</v>
      </c>
      <c r="M90" s="53" t="s">
        <v>340</v>
      </c>
      <c r="N90" s="53" t="s">
        <v>400</v>
      </c>
      <c r="O90" s="66" t="s">
        <v>225</v>
      </c>
    </row>
    <row r="91" spans="2:15" ht="31" x14ac:dyDescent="0.35">
      <c r="B91" s="84">
        <f>IF(Table1[[#This Row],[TANGGAL]]="","",ROW(N87))</f>
        <v>87</v>
      </c>
      <c r="C91" s="85">
        <v>46034</v>
      </c>
      <c r="D91" s="86" t="s">
        <v>9</v>
      </c>
      <c r="E91" s="52" t="str">
        <f>INDEX(Table5[KATEGORI PROGRAM],MATCH(Table1[[#This Row],[NAMA PROGRAM]],Table5[NAMA PROGRAM],0))</f>
        <v>Pangan</v>
      </c>
      <c r="F91" s="43" t="s">
        <v>379</v>
      </c>
      <c r="G91" s="87" t="s">
        <v>380</v>
      </c>
      <c r="H91" s="53" t="s">
        <v>96</v>
      </c>
      <c r="I91" s="53" t="str">
        <f>INDEX(Table2[Kecamatan],MATCH(Table1[[#This Row],[KELURAHAN / DESA]],Table2[Kelurahan],0))</f>
        <v>Kertapati</v>
      </c>
      <c r="J91" s="53" t="str">
        <f>INDEX(Table2[Kabupaten/Kota],MATCH(Table1[[#This Row],[KECAMATAN]],Table2[Kecamatan],0))</f>
        <v>Palembang</v>
      </c>
      <c r="K91" s="86" t="str">
        <f>INDEX(Table2[Provinsi],MATCH(Table1[[#This Row],[KAB./KOTA]],Table2[Kabupaten/Kota],0))</f>
        <v>Sumatera Selatan</v>
      </c>
      <c r="L91" s="44">
        <v>23</v>
      </c>
      <c r="M91" s="53">
        <v>2</v>
      </c>
      <c r="N91" s="53" t="s">
        <v>378</v>
      </c>
      <c r="O91" s="66" t="s">
        <v>211</v>
      </c>
    </row>
    <row r="92" spans="2:15" ht="31" x14ac:dyDescent="0.35">
      <c r="B92" s="84">
        <f>IF(Table1[[#This Row],[TANGGAL]]="","",ROW(N88))</f>
        <v>88</v>
      </c>
      <c r="C92" s="85">
        <v>46034</v>
      </c>
      <c r="D92" s="86" t="s">
        <v>9</v>
      </c>
      <c r="E92" s="52" t="str">
        <f>INDEX(Table5[KATEGORI PROGRAM],MATCH(Table1[[#This Row],[NAMA PROGRAM]],Table5[NAMA PROGRAM],0))</f>
        <v>Pangan</v>
      </c>
      <c r="F92" s="43" t="s">
        <v>374</v>
      </c>
      <c r="G92" s="87" t="s">
        <v>376</v>
      </c>
      <c r="H92" s="53" t="s">
        <v>47</v>
      </c>
      <c r="I92" s="53" t="str">
        <f>INDEX(Table2[Kecamatan],MATCH(Table1[[#This Row],[KELURAHAN / DESA]],Table2[Kelurahan],0))</f>
        <v>Ilir Barat I</v>
      </c>
      <c r="J92" s="53" t="str">
        <f>INDEX(Table2[Kabupaten/Kota],MATCH(Table1[[#This Row],[KECAMATAN]],Table2[Kecamatan],0))</f>
        <v>Palembang</v>
      </c>
      <c r="K92" s="86" t="str">
        <f>INDEX(Table2[Provinsi],MATCH(Table1[[#This Row],[KAB./KOTA]],Table2[Kabupaten/Kota],0))</f>
        <v>Sumatera Selatan</v>
      </c>
      <c r="L92" s="44">
        <v>50</v>
      </c>
      <c r="M92" s="53">
        <v>7</v>
      </c>
      <c r="N92" s="53" t="s">
        <v>468</v>
      </c>
      <c r="O92" s="66" t="s">
        <v>215</v>
      </c>
    </row>
    <row r="93" spans="2:15" ht="31" x14ac:dyDescent="0.35">
      <c r="B93" s="84">
        <f>IF(Table1[[#This Row],[TANGGAL]]="","",ROW(N89))</f>
        <v>89</v>
      </c>
      <c r="C93" s="85">
        <v>46034</v>
      </c>
      <c r="D93" s="86" t="s">
        <v>9</v>
      </c>
      <c r="E93" s="52" t="str">
        <f>INDEX(Table5[KATEGORI PROGRAM],MATCH(Table1[[#This Row],[NAMA PROGRAM]],Table5[NAMA PROGRAM],0))</f>
        <v>Pangan</v>
      </c>
      <c r="F93" s="43" t="s">
        <v>374</v>
      </c>
      <c r="G93" s="87" t="s">
        <v>375</v>
      </c>
      <c r="H93" s="53" t="s">
        <v>47</v>
      </c>
      <c r="I93" s="53" t="str">
        <f>INDEX(Table2[Kecamatan],MATCH(Table1[[#This Row],[KELURAHAN / DESA]],Table2[Kelurahan],0))</f>
        <v>Ilir Barat I</v>
      </c>
      <c r="J93" s="53" t="str">
        <f>INDEX(Table2[Kabupaten/Kota],MATCH(Table1[[#This Row],[KECAMATAN]],Table2[Kecamatan],0))</f>
        <v>Palembang</v>
      </c>
      <c r="K93" s="86" t="str">
        <f>INDEX(Table2[Provinsi],MATCH(Table1[[#This Row],[KAB./KOTA]],Table2[Kabupaten/Kota],0))</f>
        <v>Sumatera Selatan</v>
      </c>
      <c r="L93" s="44">
        <v>170</v>
      </c>
      <c r="M93" s="53">
        <v>25</v>
      </c>
      <c r="N93" s="53" t="s">
        <v>468</v>
      </c>
      <c r="O93" s="66" t="s">
        <v>215</v>
      </c>
    </row>
    <row r="94" spans="2:15" ht="31" x14ac:dyDescent="0.35">
      <c r="B94" s="84">
        <f>IF(Table1[[#This Row],[TANGGAL]]="","",ROW(N90))</f>
        <v>90</v>
      </c>
      <c r="C94" s="85">
        <v>46034</v>
      </c>
      <c r="D94" s="86" t="s">
        <v>261</v>
      </c>
      <c r="E94" s="52" t="str">
        <f>INDEX(Table5[KATEGORI PROGRAM],MATCH(Table1[[#This Row],[NAMA PROGRAM]],Table5[NAMA PROGRAM],0))</f>
        <v>Respon Bencana (Psikososial)</v>
      </c>
      <c r="F94" s="43" t="s">
        <v>496</v>
      </c>
      <c r="G94" s="87" t="s">
        <v>497</v>
      </c>
      <c r="H94" s="53" t="s">
        <v>336</v>
      </c>
      <c r="I94" s="53" t="str">
        <f>INDEX(Table2[Kecamatan],MATCH(Table1[[#This Row],[KELURAHAN / DESA]],Table2[Kelurahan],0))</f>
        <v>Karang baru</v>
      </c>
      <c r="J94" s="53" t="str">
        <f>INDEX(Table2[Kabupaten/Kota],MATCH(Table1[[#This Row],[KECAMATAN]],Table2[Kecamatan],0))</f>
        <v>Aceh Tamiang</v>
      </c>
      <c r="K94" s="86" t="str">
        <f>INDEX(Table2[Provinsi],MATCH(Table1[[#This Row],[KAB./KOTA]],Table2[Kabupaten/Kota],0))</f>
        <v>Nangroe Aceh Darussalam</v>
      </c>
      <c r="L94" s="44">
        <v>13</v>
      </c>
      <c r="M94" s="53" t="s">
        <v>9</v>
      </c>
      <c r="N94" s="53" t="s">
        <v>400</v>
      </c>
      <c r="O94" s="66" t="s">
        <v>225</v>
      </c>
    </row>
    <row r="95" spans="2:15" ht="31" x14ac:dyDescent="0.35">
      <c r="B95" s="84">
        <f>IF(Table1[[#This Row],[TANGGAL]]="","",ROW(N91))</f>
        <v>91</v>
      </c>
      <c r="C95" s="85">
        <v>46034</v>
      </c>
      <c r="D95" s="86" t="s">
        <v>260</v>
      </c>
      <c r="E95" s="52" t="str">
        <f>INDEX(Table5[KATEGORI PROGRAM],MATCH(Table1[[#This Row],[NAMA PROGRAM]],Table5[NAMA PROGRAM],0))</f>
        <v>Respon Bencana (Recovery)</v>
      </c>
      <c r="F95" s="43" t="s">
        <v>496</v>
      </c>
      <c r="G95" s="87" t="s">
        <v>497</v>
      </c>
      <c r="H95" s="53" t="s">
        <v>336</v>
      </c>
      <c r="I95" s="53" t="str">
        <f>INDEX(Table2[Kecamatan],MATCH(Table1[[#This Row],[KELURAHAN / DESA]],Table2[Kelurahan],0))</f>
        <v>Karang baru</v>
      </c>
      <c r="J95" s="53" t="str">
        <f>INDEX(Table2[Kabupaten/Kota],MATCH(Table1[[#This Row],[KECAMATAN]],Table2[Kecamatan],0))</f>
        <v>Aceh Tamiang</v>
      </c>
      <c r="K95" s="86" t="str">
        <f>INDEX(Table2[Provinsi],MATCH(Table1[[#This Row],[KAB./KOTA]],Table2[Kabupaten/Kota],0))</f>
        <v>Nangroe Aceh Darussalam</v>
      </c>
      <c r="L95" s="44">
        <v>30</v>
      </c>
      <c r="M95" s="53" t="s">
        <v>498</v>
      </c>
      <c r="N95" s="53" t="s">
        <v>400</v>
      </c>
      <c r="O95" s="66" t="s">
        <v>225</v>
      </c>
    </row>
    <row r="96" spans="2:15" ht="31" x14ac:dyDescent="0.35">
      <c r="B96" s="84">
        <f>IF(Table1[[#This Row],[TANGGAL]]="","",ROW(N92))</f>
        <v>92</v>
      </c>
      <c r="C96" s="85">
        <v>46034</v>
      </c>
      <c r="D96" s="86" t="s">
        <v>260</v>
      </c>
      <c r="E96" s="52" t="str">
        <f>INDEX(Table5[KATEGORI PROGRAM],MATCH(Table1[[#This Row],[NAMA PROGRAM]],Table5[NAMA PROGRAM],0))</f>
        <v>Respon Bencana (Recovery)</v>
      </c>
      <c r="F96" s="43" t="s">
        <v>496</v>
      </c>
      <c r="G96" s="87" t="s">
        <v>497</v>
      </c>
      <c r="H96" s="53" t="s">
        <v>336</v>
      </c>
      <c r="I96" s="53" t="str">
        <f>INDEX(Table2[Kecamatan],MATCH(Table1[[#This Row],[KELURAHAN / DESA]],Table2[Kelurahan],0))</f>
        <v>Karang baru</v>
      </c>
      <c r="J96" s="53" t="str">
        <f>INDEX(Table2[Kabupaten/Kota],MATCH(Table1[[#This Row],[KECAMATAN]],Table2[Kecamatan],0))</f>
        <v>Aceh Tamiang</v>
      </c>
      <c r="K96" s="86" t="str">
        <f>INDEX(Table2[Provinsi],MATCH(Table1[[#This Row],[KAB./KOTA]],Table2[Kabupaten/Kota],0))</f>
        <v>Nangroe Aceh Darussalam</v>
      </c>
      <c r="L96" s="44">
        <v>14</v>
      </c>
      <c r="M96" s="53" t="s">
        <v>491</v>
      </c>
      <c r="N96" s="53" t="s">
        <v>400</v>
      </c>
      <c r="O96" s="66" t="s">
        <v>225</v>
      </c>
    </row>
    <row r="97" spans="2:15" ht="31" x14ac:dyDescent="0.35">
      <c r="B97" s="84">
        <f>IF(Table1[[#This Row],[TANGGAL]]="","",ROW(N93))</f>
        <v>93</v>
      </c>
      <c r="C97" s="85">
        <v>46034</v>
      </c>
      <c r="D97" s="86" t="s">
        <v>260</v>
      </c>
      <c r="E97" s="52" t="str">
        <f>INDEX(Table5[KATEGORI PROGRAM],MATCH(Table1[[#This Row],[NAMA PROGRAM]],Table5[NAMA PROGRAM],0))</f>
        <v>Respon Bencana (Recovery)</v>
      </c>
      <c r="F97" s="43" t="s">
        <v>496</v>
      </c>
      <c r="G97" s="87" t="s">
        <v>497</v>
      </c>
      <c r="H97" s="53" t="s">
        <v>336</v>
      </c>
      <c r="I97" s="53" t="str">
        <f>INDEX(Table2[Kecamatan],MATCH(Table1[[#This Row],[KELURAHAN / DESA]],Table2[Kelurahan],0))</f>
        <v>Karang baru</v>
      </c>
      <c r="J97" s="53" t="str">
        <f>INDEX(Table2[Kabupaten/Kota],MATCH(Table1[[#This Row],[KECAMATAN]],Table2[Kecamatan],0))</f>
        <v>Aceh Tamiang</v>
      </c>
      <c r="K97" s="86" t="str">
        <f>INDEX(Table2[Provinsi],MATCH(Table1[[#This Row],[KAB./KOTA]],Table2[Kabupaten/Kota],0))</f>
        <v>Nangroe Aceh Darussalam</v>
      </c>
      <c r="L97" s="44">
        <v>48</v>
      </c>
      <c r="M97" s="53" t="s">
        <v>499</v>
      </c>
      <c r="N97" s="53" t="s">
        <v>400</v>
      </c>
      <c r="O97" s="66" t="s">
        <v>225</v>
      </c>
    </row>
    <row r="98" spans="2:15" ht="31" x14ac:dyDescent="0.35">
      <c r="B98" s="84">
        <f>IF(Table1[[#This Row],[TANGGAL]]="","",ROW(N94))</f>
        <v>94</v>
      </c>
      <c r="C98" s="85">
        <v>46035</v>
      </c>
      <c r="D98" s="86" t="s">
        <v>9</v>
      </c>
      <c r="E98" s="52" t="str">
        <f>INDEX(Table5[KATEGORI PROGRAM],MATCH(Table1[[#This Row],[NAMA PROGRAM]],Table5[NAMA PROGRAM],0))</f>
        <v>Pangan</v>
      </c>
      <c r="F98" s="43" t="s">
        <v>372</v>
      </c>
      <c r="G98" s="87" t="s">
        <v>381</v>
      </c>
      <c r="H98" s="53" t="s">
        <v>99</v>
      </c>
      <c r="I98" s="53" t="str">
        <f>INDEX(Table2[Kecamatan],MATCH(Table1[[#This Row],[KELURAHAN / DESA]],Table2[Kelurahan],0))</f>
        <v>Kertapati</v>
      </c>
      <c r="J98" s="53" t="str">
        <f>INDEX(Table2[Kabupaten/Kota],MATCH(Table1[[#This Row],[KECAMATAN]],Table2[Kecamatan],0))</f>
        <v>Palembang</v>
      </c>
      <c r="K98" s="86" t="str">
        <f>INDEX(Table2[Provinsi],MATCH(Table1[[#This Row],[KAB./KOTA]],Table2[Kabupaten/Kota],0))</f>
        <v>Sumatera Selatan</v>
      </c>
      <c r="L98" s="44">
        <v>39</v>
      </c>
      <c r="M98" s="53">
        <v>2</v>
      </c>
      <c r="N98" s="53" t="s">
        <v>378</v>
      </c>
      <c r="O98" s="66" t="s">
        <v>211</v>
      </c>
    </row>
    <row r="99" spans="2:15" ht="31" x14ac:dyDescent="0.35">
      <c r="B99" s="84">
        <f>IF(Table1[[#This Row],[TANGGAL]]="","",ROW(N95))</f>
        <v>95</v>
      </c>
      <c r="C99" s="85">
        <v>46035</v>
      </c>
      <c r="D99" s="86" t="s">
        <v>260</v>
      </c>
      <c r="E99" s="52" t="str">
        <f>INDEX(Table5[KATEGORI PROGRAM],MATCH(Table1[[#This Row],[NAMA PROGRAM]],Table5[NAMA PROGRAM],0))</f>
        <v>Respon Bencana (Recovery)</v>
      </c>
      <c r="F99" s="43" t="s">
        <v>494</v>
      </c>
      <c r="G99" s="87" t="s">
        <v>493</v>
      </c>
      <c r="H99" s="53" t="s">
        <v>316</v>
      </c>
      <c r="I99" s="53" t="str">
        <f>INDEX(Table2[Kecamatan],MATCH(Table1[[#This Row],[KELURAHAN / DESA]],Table2[Kelurahan],0))</f>
        <v>Kejuruan Muda</v>
      </c>
      <c r="J99" s="53" t="str">
        <f>INDEX(Table2[Kabupaten/Kota],MATCH(Table1[[#This Row],[KECAMATAN]],Table2[Kecamatan],0))</f>
        <v>Aceh Tamiang</v>
      </c>
      <c r="K99" s="86" t="str">
        <f>INDEX(Table2[Provinsi],MATCH(Table1[[#This Row],[KAB./KOTA]],Table2[Kabupaten/Kota],0))</f>
        <v>Nangroe Aceh Darussalam</v>
      </c>
      <c r="L99" s="44">
        <v>80</v>
      </c>
      <c r="M99" s="53" t="s">
        <v>491</v>
      </c>
      <c r="N99" s="53" t="s">
        <v>400</v>
      </c>
      <c r="O99" s="66" t="s">
        <v>225</v>
      </c>
    </row>
    <row r="100" spans="2:15" ht="29" x14ac:dyDescent="0.35">
      <c r="B100" s="84">
        <f>IF(Table1[[#This Row],[TANGGAL]]="","",ROW(N96))</f>
        <v>96</v>
      </c>
      <c r="C100" s="85">
        <v>46035</v>
      </c>
      <c r="D100" s="86" t="s">
        <v>9</v>
      </c>
      <c r="E100" s="52" t="str">
        <f>INDEX(Table5[KATEGORI PROGRAM],MATCH(Table1[[#This Row],[NAMA PROGRAM]],Table5[NAMA PROGRAM],0))</f>
        <v>Pangan</v>
      </c>
      <c r="F100" s="43" t="s">
        <v>372</v>
      </c>
      <c r="G100" s="87" t="s">
        <v>322</v>
      </c>
      <c r="H100" s="53" t="s">
        <v>99</v>
      </c>
      <c r="I100" s="53" t="str">
        <f>INDEX(Table2[Kecamatan],MATCH(Table1[[#This Row],[KELURAHAN / DESA]],Table2[Kelurahan],0))</f>
        <v>Kertapati</v>
      </c>
      <c r="J100" s="53" t="str">
        <f>INDEX(Table2[Kabupaten/Kota],MATCH(Table1[[#This Row],[KECAMATAN]],Table2[Kecamatan],0))</f>
        <v>Palembang</v>
      </c>
      <c r="K100" s="86" t="str">
        <f>INDEX(Table2[Provinsi],MATCH(Table1[[#This Row],[KAB./KOTA]],Table2[Kabupaten/Kota],0))</f>
        <v>Sumatera Selatan</v>
      </c>
      <c r="L100" s="44">
        <v>80</v>
      </c>
      <c r="M100" s="53">
        <v>4</v>
      </c>
      <c r="N100" s="53" t="s">
        <v>377</v>
      </c>
      <c r="O100" s="66" t="s">
        <v>214</v>
      </c>
    </row>
    <row r="101" spans="2:15" ht="31" x14ac:dyDescent="0.35">
      <c r="B101" s="84">
        <f>IF(Table1[[#This Row],[TANGGAL]]="","",ROW(N97))</f>
        <v>97</v>
      </c>
      <c r="C101" s="85">
        <v>46036</v>
      </c>
      <c r="D101" s="86" t="s">
        <v>9</v>
      </c>
      <c r="E101" s="52" t="str">
        <f>INDEX(Table5[KATEGORI PROGRAM],MATCH(Table1[[#This Row],[NAMA PROGRAM]],Table5[NAMA PROGRAM],0))</f>
        <v>Pangan</v>
      </c>
      <c r="F101" s="43" t="s">
        <v>379</v>
      </c>
      <c r="G101" s="87" t="s">
        <v>380</v>
      </c>
      <c r="H101" s="53" t="s">
        <v>96</v>
      </c>
      <c r="I101" s="53" t="str">
        <f>INDEX(Table2[Kecamatan],MATCH(Table1[[#This Row],[KELURAHAN / DESA]],Table2[Kelurahan],0))</f>
        <v>Kertapati</v>
      </c>
      <c r="J101" s="53" t="str">
        <f>INDEX(Table2[Kabupaten/Kota],MATCH(Table1[[#This Row],[KECAMATAN]],Table2[Kecamatan],0))</f>
        <v>Palembang</v>
      </c>
      <c r="K101" s="86" t="str">
        <f>INDEX(Table2[Provinsi],MATCH(Table1[[#This Row],[KAB./KOTA]],Table2[Kabupaten/Kota],0))</f>
        <v>Sumatera Selatan</v>
      </c>
      <c r="L101" s="44">
        <v>24</v>
      </c>
      <c r="M101" s="53">
        <v>2</v>
      </c>
      <c r="N101" s="53" t="s">
        <v>378</v>
      </c>
      <c r="O101" s="66" t="s">
        <v>211</v>
      </c>
    </row>
    <row r="102" spans="2:15" ht="29" x14ac:dyDescent="0.35">
      <c r="B102" s="84">
        <f>IF(Table1[[#This Row],[TANGGAL]]="","",ROW(N98))</f>
        <v>98</v>
      </c>
      <c r="C102" s="85">
        <v>46037</v>
      </c>
      <c r="D102" s="86" t="s">
        <v>2</v>
      </c>
      <c r="E102" s="52" t="str">
        <f>INDEX(Table5[KATEGORI PROGRAM],MATCH(Table1[[#This Row],[NAMA PROGRAM]],Table5[NAMA PROGRAM],0))</f>
        <v>Pendidikan</v>
      </c>
      <c r="F102" s="43" t="s">
        <v>470</v>
      </c>
      <c r="G102" s="87" t="s">
        <v>471</v>
      </c>
      <c r="H102" s="53" t="s">
        <v>99</v>
      </c>
      <c r="I102" s="53" t="str">
        <f>INDEX(Table2[Kecamatan],MATCH(Table1[[#This Row],[KELURAHAN / DESA]],Table2[Kelurahan],0))</f>
        <v>Kertapati</v>
      </c>
      <c r="J102" s="53" t="str">
        <f>INDEX(Table2[Kabupaten/Kota],MATCH(Table1[[#This Row],[KECAMATAN]],Table2[Kecamatan],0))</f>
        <v>Palembang</v>
      </c>
      <c r="K102" s="86" t="str">
        <f>INDEX(Table2[Provinsi],MATCH(Table1[[#This Row],[KAB./KOTA]],Table2[Kabupaten/Kota],0))</f>
        <v>Sumatera Selatan</v>
      </c>
      <c r="L102" s="44">
        <v>44</v>
      </c>
      <c r="M102" s="53">
        <v>3</v>
      </c>
      <c r="N102" s="53" t="s">
        <v>472</v>
      </c>
      <c r="O102" s="66" t="s">
        <v>211</v>
      </c>
    </row>
    <row r="103" spans="2:15" ht="31" x14ac:dyDescent="0.35">
      <c r="B103" s="84">
        <f>IF(Table1[[#This Row],[TANGGAL]]="","",ROW(N99))</f>
        <v>99</v>
      </c>
      <c r="C103" s="85">
        <v>46037</v>
      </c>
      <c r="D103" s="86" t="s">
        <v>327</v>
      </c>
      <c r="E103" s="52" t="str">
        <f>INDEX(Table5[KATEGORI PROGRAM],MATCH(Table1[[#This Row],[NAMA PROGRAM]],Table5[NAMA PROGRAM],0))</f>
        <v>Respon Bencana (Recovery)</v>
      </c>
      <c r="F103" s="43" t="s">
        <v>501</v>
      </c>
      <c r="G103" s="87" t="s">
        <v>500</v>
      </c>
      <c r="H103" s="53" t="s">
        <v>331</v>
      </c>
      <c r="I103" s="53" t="str">
        <f>INDEX(Table2[Kecamatan],MATCH(Table1[[#This Row],[KELURAHAN / DESA]],Table2[Kelurahan],0))</f>
        <v>Rantau</v>
      </c>
      <c r="J103" s="53" t="str">
        <f>INDEX(Table2[Kabupaten/Kota],MATCH(Table1[[#This Row],[KECAMATAN]],Table2[Kecamatan],0))</f>
        <v>Aceh Tamiang</v>
      </c>
      <c r="K103" s="86" t="str">
        <f>INDEX(Table2[Provinsi],MATCH(Table1[[#This Row],[KAB./KOTA]],Table2[Kabupaten/Kota],0))</f>
        <v>Nangroe Aceh Darussalam</v>
      </c>
      <c r="L103" s="44">
        <v>20</v>
      </c>
      <c r="M103" s="53" t="s">
        <v>292</v>
      </c>
      <c r="N103" s="53" t="s">
        <v>400</v>
      </c>
      <c r="O103" s="66" t="s">
        <v>225</v>
      </c>
    </row>
    <row r="104" spans="2:15" ht="31" x14ac:dyDescent="0.35">
      <c r="B104" s="84">
        <f>IF(Table1[[#This Row],[TANGGAL]]="","",ROW(N100))</f>
        <v>100</v>
      </c>
      <c r="C104" s="85">
        <v>46037</v>
      </c>
      <c r="D104" s="86" t="s">
        <v>327</v>
      </c>
      <c r="E104" s="52" t="str">
        <f>INDEX(Table5[KATEGORI PROGRAM],MATCH(Table1[[#This Row],[NAMA PROGRAM]],Table5[NAMA PROGRAM],0))</f>
        <v>Respon Bencana (Recovery)</v>
      </c>
      <c r="F104" s="43" t="s">
        <v>501</v>
      </c>
      <c r="G104" s="87" t="s">
        <v>500</v>
      </c>
      <c r="H104" s="53" t="s">
        <v>331</v>
      </c>
      <c r="I104" s="53" t="str">
        <f>INDEX(Table2[Kecamatan],MATCH(Table1[[#This Row],[KELURAHAN / DESA]],Table2[Kelurahan],0))</f>
        <v>Rantau</v>
      </c>
      <c r="J104" s="53" t="str">
        <f>INDEX(Table2[Kabupaten/Kota],MATCH(Table1[[#This Row],[KECAMATAN]],Table2[Kecamatan],0))</f>
        <v>Aceh Tamiang</v>
      </c>
      <c r="K104" s="86" t="str">
        <f>INDEX(Table2[Provinsi],MATCH(Table1[[#This Row],[KAB./KOTA]],Table2[Kabupaten/Kota],0))</f>
        <v>Nangroe Aceh Darussalam</v>
      </c>
      <c r="L104" s="44">
        <v>60</v>
      </c>
      <c r="M104" s="53" t="s">
        <v>340</v>
      </c>
      <c r="N104" s="53" t="s">
        <v>400</v>
      </c>
      <c r="O104" s="66" t="s">
        <v>225</v>
      </c>
    </row>
    <row r="105" spans="2:15" ht="31" x14ac:dyDescent="0.35">
      <c r="B105" s="84">
        <f>IF(Table1[[#This Row],[TANGGAL]]="","",ROW(N101))</f>
        <v>101</v>
      </c>
      <c r="C105" s="85">
        <v>46037</v>
      </c>
      <c r="D105" s="86" t="s">
        <v>9</v>
      </c>
      <c r="E105" s="52" t="str">
        <f>INDEX(Table5[KATEGORI PROGRAM],MATCH(Table1[[#This Row],[NAMA PROGRAM]],Table5[NAMA PROGRAM],0))</f>
        <v>Pangan</v>
      </c>
      <c r="F105" s="43" t="s">
        <v>379</v>
      </c>
      <c r="G105" s="87" t="s">
        <v>380</v>
      </c>
      <c r="H105" s="53" t="s">
        <v>96</v>
      </c>
      <c r="I105" s="53" t="str">
        <f>INDEX(Table2[Kecamatan],MATCH(Table1[[#This Row],[KELURAHAN / DESA]],Table2[Kelurahan],0))</f>
        <v>Kertapati</v>
      </c>
      <c r="J105" s="53" t="str">
        <f>INDEX(Table2[Kabupaten/Kota],MATCH(Table1[[#This Row],[KECAMATAN]],Table2[Kecamatan],0))</f>
        <v>Palembang</v>
      </c>
      <c r="K105" s="86" t="str">
        <f>INDEX(Table2[Provinsi],MATCH(Table1[[#This Row],[KAB./KOTA]],Table2[Kabupaten/Kota],0))</f>
        <v>Sumatera Selatan</v>
      </c>
      <c r="L105" s="44">
        <v>25</v>
      </c>
      <c r="M105" s="53">
        <v>2</v>
      </c>
      <c r="N105" s="53" t="s">
        <v>378</v>
      </c>
      <c r="O105" s="66" t="s">
        <v>211</v>
      </c>
    </row>
    <row r="106" spans="2:15" ht="31" x14ac:dyDescent="0.35">
      <c r="B106" s="84">
        <f>IF(Table1[[#This Row],[TANGGAL]]="","",ROW(N102))</f>
        <v>102</v>
      </c>
      <c r="C106" s="85">
        <v>46037</v>
      </c>
      <c r="D106" s="86" t="s">
        <v>261</v>
      </c>
      <c r="E106" s="52" t="str">
        <f>INDEX(Table5[KATEGORI PROGRAM],MATCH(Table1[[#This Row],[NAMA PROGRAM]],Table5[NAMA PROGRAM],0))</f>
        <v>Respon Bencana (Psikososial)</v>
      </c>
      <c r="F106" s="43" t="s">
        <v>501</v>
      </c>
      <c r="G106" s="87" t="s">
        <v>500</v>
      </c>
      <c r="H106" s="53" t="s">
        <v>331</v>
      </c>
      <c r="I106" s="53" t="str">
        <f>INDEX(Table2[Kecamatan],MATCH(Table1[[#This Row],[KELURAHAN / DESA]],Table2[Kelurahan],0))</f>
        <v>Rantau</v>
      </c>
      <c r="J106" s="53" t="str">
        <f>INDEX(Table2[Kabupaten/Kota],MATCH(Table1[[#This Row],[KECAMATAN]],Table2[Kecamatan],0))</f>
        <v>Aceh Tamiang</v>
      </c>
      <c r="K106" s="86" t="str">
        <f>INDEX(Table2[Provinsi],MATCH(Table1[[#This Row],[KAB./KOTA]],Table2[Kabupaten/Kota],0))</f>
        <v>Nangroe Aceh Darussalam</v>
      </c>
      <c r="L106" s="44">
        <v>72</v>
      </c>
      <c r="M106" s="53" t="s">
        <v>502</v>
      </c>
      <c r="N106" s="53" t="s">
        <v>400</v>
      </c>
      <c r="O106" s="66" t="s">
        <v>225</v>
      </c>
    </row>
    <row r="107" spans="2:15" ht="31" x14ac:dyDescent="0.35">
      <c r="B107" s="84">
        <f>IF(Table1[[#This Row],[TANGGAL]]="","",ROW(N103))</f>
        <v>103</v>
      </c>
      <c r="C107" s="85">
        <v>46037</v>
      </c>
      <c r="D107" s="86" t="s">
        <v>9</v>
      </c>
      <c r="E107" s="52" t="str">
        <f>INDEX(Table5[KATEGORI PROGRAM],MATCH(Table1[[#This Row],[NAMA PROGRAM]],Table5[NAMA PROGRAM],0))</f>
        <v>Pangan</v>
      </c>
      <c r="F107" s="43" t="s">
        <v>372</v>
      </c>
      <c r="G107" s="87" t="s">
        <v>381</v>
      </c>
      <c r="H107" s="53" t="s">
        <v>99</v>
      </c>
      <c r="I107" s="53" t="str">
        <f>INDEX(Table2[Kecamatan],MATCH(Table1[[#This Row],[KELURAHAN / DESA]],Table2[Kelurahan],0))</f>
        <v>Kertapati</v>
      </c>
      <c r="J107" s="53" t="str">
        <f>INDEX(Table2[Kabupaten/Kota],MATCH(Table1[[#This Row],[KECAMATAN]],Table2[Kecamatan],0))</f>
        <v>Palembang</v>
      </c>
      <c r="K107" s="86" t="str">
        <f>INDEX(Table2[Provinsi],MATCH(Table1[[#This Row],[KAB./KOTA]],Table2[Kabupaten/Kota],0))</f>
        <v>Sumatera Selatan</v>
      </c>
      <c r="L107" s="44">
        <v>30</v>
      </c>
      <c r="M107" s="53">
        <v>2</v>
      </c>
      <c r="N107" s="53" t="s">
        <v>378</v>
      </c>
      <c r="O107" s="66" t="s">
        <v>211</v>
      </c>
    </row>
    <row r="108" spans="2:15" ht="29" x14ac:dyDescent="0.35">
      <c r="B108" s="84">
        <f>IF(Table1[[#This Row],[TANGGAL]]="","",ROW(N104))</f>
        <v>104</v>
      </c>
      <c r="C108" s="85">
        <v>46037</v>
      </c>
      <c r="D108" s="86" t="s">
        <v>7</v>
      </c>
      <c r="E108" s="52" t="str">
        <f>INDEX(Table5[KATEGORI PROGRAM],MATCH(Table1[[#This Row],[NAMA PROGRAM]],Table5[NAMA PROGRAM],0))</f>
        <v>Pendidikan</v>
      </c>
      <c r="F108" s="43" t="s">
        <v>372</v>
      </c>
      <c r="G108" s="87" t="s">
        <v>242</v>
      </c>
      <c r="H108" s="53" t="s">
        <v>99</v>
      </c>
      <c r="I108" s="53" t="str">
        <f>INDEX(Table2[Kecamatan],MATCH(Table1[[#This Row],[KELURAHAN / DESA]],Table2[Kelurahan],0))</f>
        <v>Kertapati</v>
      </c>
      <c r="J108" s="53" t="str">
        <f>INDEX(Table2[Kabupaten/Kota],MATCH(Table1[[#This Row],[KECAMATAN]],Table2[Kecamatan],0))</f>
        <v>Palembang</v>
      </c>
      <c r="K108" s="86" t="str">
        <f>INDEX(Table2[Provinsi],MATCH(Table1[[#This Row],[KAB./KOTA]],Table2[Kabupaten/Kota],0))</f>
        <v>Sumatera Selatan</v>
      </c>
      <c r="L108" s="44">
        <v>44</v>
      </c>
      <c r="M108" s="53">
        <v>4</v>
      </c>
      <c r="N108" s="53" t="s">
        <v>243</v>
      </c>
      <c r="O108" s="66" t="s">
        <v>211</v>
      </c>
    </row>
    <row r="109" spans="2:15" ht="29" x14ac:dyDescent="0.35">
      <c r="B109" s="84">
        <f>IF(Table1[[#This Row],[TANGGAL]]="","",ROW(N105))</f>
        <v>105</v>
      </c>
      <c r="C109" s="85">
        <v>46037</v>
      </c>
      <c r="D109" s="86" t="s">
        <v>9</v>
      </c>
      <c r="E109" s="52" t="str">
        <f>INDEX(Table5[KATEGORI PROGRAM],MATCH(Table1[[#This Row],[NAMA PROGRAM]],Table5[NAMA PROGRAM],0))</f>
        <v>Pangan</v>
      </c>
      <c r="F109" s="43" t="s">
        <v>469</v>
      </c>
      <c r="G109" s="87" t="s">
        <v>100</v>
      </c>
      <c r="H109" s="53" t="s">
        <v>100</v>
      </c>
      <c r="I109" s="53" t="str">
        <f>INDEX(Table2[Kecamatan],MATCH(Table1[[#This Row],[KELURAHAN / DESA]],Table2[Kelurahan],0))</f>
        <v>Kertapati</v>
      </c>
      <c r="J109" s="53" t="str">
        <f>INDEX(Table2[Kabupaten/Kota],MATCH(Table1[[#This Row],[KECAMATAN]],Table2[Kecamatan],0))</f>
        <v>Palembang</v>
      </c>
      <c r="K109" s="86" t="str">
        <f>INDEX(Table2[Provinsi],MATCH(Table1[[#This Row],[KAB./KOTA]],Table2[Kabupaten/Kota],0))</f>
        <v>Sumatera Selatan</v>
      </c>
      <c r="L109" s="44">
        <v>100</v>
      </c>
      <c r="M109" s="53">
        <v>8</v>
      </c>
      <c r="N109" s="53" t="s">
        <v>389</v>
      </c>
      <c r="O109" s="66" t="s">
        <v>225</v>
      </c>
    </row>
    <row r="110" spans="2:15" ht="31" x14ac:dyDescent="0.35">
      <c r="B110" s="84">
        <f>IF(Table1[[#This Row],[TANGGAL]]="","",ROW(N106))</f>
        <v>106</v>
      </c>
      <c r="C110" s="85">
        <v>46038</v>
      </c>
      <c r="D110" s="86" t="s">
        <v>327</v>
      </c>
      <c r="E110" s="52" t="str">
        <f>INDEX(Table5[KATEGORI PROGRAM],MATCH(Table1[[#This Row],[NAMA PROGRAM]],Table5[NAMA PROGRAM],0))</f>
        <v>Respon Bencana (Recovery)</v>
      </c>
      <c r="F110" s="43" t="s">
        <v>454</v>
      </c>
      <c r="G110" s="87" t="s">
        <v>455</v>
      </c>
      <c r="H110" s="53" t="s">
        <v>456</v>
      </c>
      <c r="I110" s="53" t="str">
        <f>INDEX(Table2[Kecamatan],MATCH(Table1[[#This Row],[KELURAHAN / DESA]],Table2[Kelurahan],0))</f>
        <v>Sekerak</v>
      </c>
      <c r="J110" s="53" t="str">
        <f>INDEX(Table2[Kabupaten/Kota],MATCH(Table1[[#This Row],[KECAMATAN]],Table2[Kecamatan],0))</f>
        <v>Aceh Tamiang</v>
      </c>
      <c r="K110" s="86" t="str">
        <f>INDEX(Table2[Provinsi],MATCH(Table1[[#This Row],[KAB./KOTA]],Table2[Kabupaten/Kota],0))</f>
        <v>Nangroe Aceh Darussalam</v>
      </c>
      <c r="L110" s="44">
        <v>33</v>
      </c>
      <c r="M110" s="53" t="s">
        <v>292</v>
      </c>
      <c r="N110" s="53" t="s">
        <v>400</v>
      </c>
      <c r="O110" s="66" t="s">
        <v>225</v>
      </c>
    </row>
    <row r="111" spans="2:15" ht="31" x14ac:dyDescent="0.35">
      <c r="B111" s="84">
        <f>IF(Table1[[#This Row],[TANGGAL]]="","",ROW(N107))</f>
        <v>107</v>
      </c>
      <c r="C111" s="85">
        <v>46038</v>
      </c>
      <c r="D111" s="86" t="s">
        <v>436</v>
      </c>
      <c r="E111" s="52" t="str">
        <f>INDEX(Table5[KATEGORI PROGRAM],MATCH(Table1[[#This Row],[NAMA PROGRAM]],Table5[NAMA PROGRAM],0))</f>
        <v>Respon Bencana (Recovery)</v>
      </c>
      <c r="F111" s="43" t="s">
        <v>503</v>
      </c>
      <c r="G111" s="87" t="s">
        <v>504</v>
      </c>
      <c r="H111" s="53" t="s">
        <v>334</v>
      </c>
      <c r="I111" s="53" t="str">
        <f>INDEX(Table2[Kecamatan],MATCH(Table1[[#This Row],[KELURAHAN / DESA]],Table2[Kelurahan],0))</f>
        <v>Rantau</v>
      </c>
      <c r="J111" s="53" t="str">
        <f>INDEX(Table2[Kabupaten/Kota],MATCH(Table1[[#This Row],[KECAMATAN]],Table2[Kecamatan],0))</f>
        <v>Aceh Tamiang</v>
      </c>
      <c r="K111" s="86" t="str">
        <f>INDEX(Table2[Provinsi],MATCH(Table1[[#This Row],[KAB./KOTA]],Table2[Kabupaten/Kota],0))</f>
        <v>Nangroe Aceh Darussalam</v>
      </c>
      <c r="L111" s="44">
        <v>500</v>
      </c>
      <c r="M111" s="53" t="s">
        <v>505</v>
      </c>
      <c r="N111" s="53" t="s">
        <v>400</v>
      </c>
      <c r="O111" s="66" t="s">
        <v>225</v>
      </c>
    </row>
    <row r="112" spans="2:15" ht="31" x14ac:dyDescent="0.35">
      <c r="B112" s="84">
        <f>IF(Table1[[#This Row],[TANGGAL]]="","",ROW(N108))</f>
        <v>108</v>
      </c>
      <c r="C112" s="85">
        <v>46038</v>
      </c>
      <c r="D112" s="86" t="s">
        <v>448</v>
      </c>
      <c r="E112" s="52" t="str">
        <f>INDEX(Table5[KATEGORI PROGRAM],MATCH(Table1[[#This Row],[NAMA PROGRAM]],Table5[NAMA PROGRAM],0))</f>
        <v>Respon Bencana (Recovery)</v>
      </c>
      <c r="F112" s="43" t="s">
        <v>454</v>
      </c>
      <c r="G112" s="87" t="s">
        <v>455</v>
      </c>
      <c r="H112" s="53" t="s">
        <v>456</v>
      </c>
      <c r="I112" s="53" t="str">
        <f>INDEX(Table2[Kecamatan],MATCH(Table1[[#This Row],[KELURAHAN / DESA]],Table2[Kelurahan],0))</f>
        <v>Sekerak</v>
      </c>
      <c r="J112" s="53" t="str">
        <f>INDEX(Table2[Kabupaten/Kota],MATCH(Table1[[#This Row],[KECAMATAN]],Table2[Kecamatan],0))</f>
        <v>Aceh Tamiang</v>
      </c>
      <c r="K112" s="86" t="str">
        <f>INDEX(Table2[Provinsi],MATCH(Table1[[#This Row],[KAB./KOTA]],Table2[Kabupaten/Kota],0))</f>
        <v>Nangroe Aceh Darussalam</v>
      </c>
      <c r="L112" s="44">
        <v>33</v>
      </c>
      <c r="M112" s="53" t="s">
        <v>451</v>
      </c>
      <c r="N112" s="53" t="s">
        <v>400</v>
      </c>
      <c r="O112" s="66" t="s">
        <v>225</v>
      </c>
    </row>
    <row r="113" spans="2:15" ht="31" x14ac:dyDescent="0.35">
      <c r="B113" s="84">
        <f>IF(Table1[[#This Row],[TANGGAL]]="","",ROW(N109))</f>
        <v>109</v>
      </c>
      <c r="C113" s="85">
        <v>46038</v>
      </c>
      <c r="D113" s="86" t="s">
        <v>448</v>
      </c>
      <c r="E113" s="52" t="str">
        <f>INDEX(Table5[KATEGORI PROGRAM],MATCH(Table1[[#This Row],[NAMA PROGRAM]],Table5[NAMA PROGRAM],0))</f>
        <v>Respon Bencana (Recovery)</v>
      </c>
      <c r="F113" s="43" t="s">
        <v>454</v>
      </c>
      <c r="G113" s="87" t="s">
        <v>455</v>
      </c>
      <c r="H113" s="53" t="s">
        <v>456</v>
      </c>
      <c r="I113" s="53" t="str">
        <f>INDEX(Table2[Kecamatan],MATCH(Table1[[#This Row],[KELURAHAN / DESA]],Table2[Kelurahan],0))</f>
        <v>Sekerak</v>
      </c>
      <c r="J113" s="53" t="str">
        <f>INDEX(Table2[Kabupaten/Kota],MATCH(Table1[[#This Row],[KECAMATAN]],Table2[Kecamatan],0))</f>
        <v>Aceh Tamiang</v>
      </c>
      <c r="K113" s="86" t="str">
        <f>INDEX(Table2[Provinsi],MATCH(Table1[[#This Row],[KAB./KOTA]],Table2[Kabupaten/Kota],0))</f>
        <v>Nangroe Aceh Darussalam</v>
      </c>
      <c r="L113" s="44">
        <v>33</v>
      </c>
      <c r="M113" s="53" t="s">
        <v>508</v>
      </c>
      <c r="N113" s="53" t="s">
        <v>400</v>
      </c>
      <c r="O113" s="66" t="s">
        <v>225</v>
      </c>
    </row>
    <row r="114" spans="2:15" ht="31" x14ac:dyDescent="0.35">
      <c r="B114" s="84">
        <f>IF(Table1[[#This Row],[TANGGAL]]="","",ROW(N110))</f>
        <v>110</v>
      </c>
      <c r="C114" s="85">
        <v>46038</v>
      </c>
      <c r="D114" s="86" t="s">
        <v>261</v>
      </c>
      <c r="E114" s="52" t="str">
        <f>INDEX(Table5[KATEGORI PROGRAM],MATCH(Table1[[#This Row],[NAMA PROGRAM]],Table5[NAMA PROGRAM],0))</f>
        <v>Respon Bencana (Psikososial)</v>
      </c>
      <c r="F114" s="43" t="s">
        <v>494</v>
      </c>
      <c r="G114" s="87" t="s">
        <v>493</v>
      </c>
      <c r="H114" s="53" t="s">
        <v>316</v>
      </c>
      <c r="I114" s="53" t="str">
        <f>INDEX(Table2[Kecamatan],MATCH(Table1[[#This Row],[KELURAHAN / DESA]],Table2[Kelurahan],0))</f>
        <v>Kejuruan Muda</v>
      </c>
      <c r="J114" s="53" t="str">
        <f>INDEX(Table2[Kabupaten/Kota],MATCH(Table1[[#This Row],[KECAMATAN]],Table2[Kecamatan],0))</f>
        <v>Aceh Tamiang</v>
      </c>
      <c r="K114" s="86" t="str">
        <f>INDEX(Table2[Provinsi],MATCH(Table1[[#This Row],[KAB./KOTA]],Table2[Kabupaten/Kota],0))</f>
        <v>Nangroe Aceh Darussalam</v>
      </c>
      <c r="L114" s="44">
        <v>40</v>
      </c>
      <c r="M114" s="53" t="s">
        <v>9</v>
      </c>
      <c r="N114" s="53" t="s">
        <v>400</v>
      </c>
      <c r="O114" s="66" t="s">
        <v>225</v>
      </c>
    </row>
    <row r="115" spans="2:15" ht="31" x14ac:dyDescent="0.35">
      <c r="B115" s="84">
        <f>IF(Table1[[#This Row],[TANGGAL]]="","",ROW(N111))</f>
        <v>111</v>
      </c>
      <c r="C115" s="85">
        <v>46038</v>
      </c>
      <c r="D115" s="86" t="s">
        <v>260</v>
      </c>
      <c r="E115" s="52" t="str">
        <f>INDEX(Table5[KATEGORI PROGRAM],MATCH(Table1[[#This Row],[NAMA PROGRAM]],Table5[NAMA PROGRAM],0))</f>
        <v>Respon Bencana (Recovery)</v>
      </c>
      <c r="F115" s="43" t="s">
        <v>438</v>
      </c>
      <c r="G115" s="87" t="s">
        <v>507</v>
      </c>
      <c r="H115" s="53" t="s">
        <v>336</v>
      </c>
      <c r="I115" s="53" t="str">
        <f>INDEX(Table2[Kecamatan],MATCH(Table1[[#This Row],[KELURAHAN / DESA]],Table2[Kelurahan],0))</f>
        <v>Karang baru</v>
      </c>
      <c r="J115" s="53" t="str">
        <f>INDEX(Table2[Kabupaten/Kota],MATCH(Table1[[#This Row],[KECAMATAN]],Table2[Kecamatan],0))</f>
        <v>Aceh Tamiang</v>
      </c>
      <c r="K115" s="86" t="str">
        <f>INDEX(Table2[Provinsi],MATCH(Table1[[#This Row],[KAB./KOTA]],Table2[Kabupaten/Kota],0))</f>
        <v>Nangroe Aceh Darussalam</v>
      </c>
      <c r="L115" s="44">
        <v>28</v>
      </c>
      <c r="M115" s="53" t="s">
        <v>491</v>
      </c>
      <c r="N115" s="53" t="s">
        <v>400</v>
      </c>
      <c r="O115" s="66" t="s">
        <v>225</v>
      </c>
    </row>
    <row r="116" spans="2:15" ht="29" x14ac:dyDescent="0.35">
      <c r="B116" s="84">
        <f>IF(Table1[[#This Row],[TANGGAL]]="","",ROW(N112))</f>
        <v>112</v>
      </c>
      <c r="C116" s="85">
        <v>46038</v>
      </c>
      <c r="D116" s="86" t="s">
        <v>9</v>
      </c>
      <c r="E116" s="52" t="str">
        <f>INDEX(Table5[KATEGORI PROGRAM],MATCH(Table1[[#This Row],[NAMA PROGRAM]],Table5[NAMA PROGRAM],0))</f>
        <v>Pangan</v>
      </c>
      <c r="F116" s="43" t="s">
        <v>372</v>
      </c>
      <c r="G116" s="87" t="s">
        <v>322</v>
      </c>
      <c r="H116" s="53" t="s">
        <v>99</v>
      </c>
      <c r="I116" s="53" t="str">
        <f>INDEX(Table2[Kecamatan],MATCH(Table1[[#This Row],[KELURAHAN / DESA]],Table2[Kelurahan],0))</f>
        <v>Kertapati</v>
      </c>
      <c r="J116" s="53" t="str">
        <f>INDEX(Table2[Kabupaten/Kota],MATCH(Table1[[#This Row],[KECAMATAN]],Table2[Kecamatan],0))</f>
        <v>Palembang</v>
      </c>
      <c r="K116" s="86" t="str">
        <f>INDEX(Table2[Provinsi],MATCH(Table1[[#This Row],[KAB./KOTA]],Table2[Kabupaten/Kota],0))</f>
        <v>Sumatera Selatan</v>
      </c>
      <c r="L116" s="44">
        <v>120</v>
      </c>
      <c r="M116" s="53">
        <v>6</v>
      </c>
      <c r="N116" s="53" t="s">
        <v>377</v>
      </c>
      <c r="O116" s="66" t="s">
        <v>214</v>
      </c>
    </row>
    <row r="117" spans="2:15" ht="29" x14ac:dyDescent="0.35">
      <c r="B117" s="84">
        <f>IF(Table1[[#This Row],[TANGGAL]]="","",ROW(N113))</f>
        <v>113</v>
      </c>
      <c r="C117" s="85">
        <v>46038</v>
      </c>
      <c r="D117" s="86" t="s">
        <v>6</v>
      </c>
      <c r="E117" s="52" t="str">
        <f>INDEX(Table5[KATEGORI PROGRAM],MATCH(Table1[[#This Row],[NAMA PROGRAM]],Table5[NAMA PROGRAM],0))</f>
        <v>Pendidikan</v>
      </c>
      <c r="F117" s="43" t="s">
        <v>384</v>
      </c>
      <c r="G117" s="87" t="s">
        <v>247</v>
      </c>
      <c r="H117" s="53" t="s">
        <v>96</v>
      </c>
      <c r="I117" s="53" t="str">
        <f>INDEX(Table2[Kecamatan],MATCH(Table1[[#This Row],[KELURAHAN / DESA]],Table2[Kelurahan],0))</f>
        <v>Kertapati</v>
      </c>
      <c r="J117" s="53" t="str">
        <f>INDEX(Table2[Kabupaten/Kota],MATCH(Table1[[#This Row],[KECAMATAN]],Table2[Kecamatan],0))</f>
        <v>Palembang</v>
      </c>
      <c r="K117" s="86" t="str">
        <f>INDEX(Table2[Provinsi],MATCH(Table1[[#This Row],[KAB./KOTA]],Table2[Kabupaten/Kota],0))</f>
        <v>Sumatera Selatan</v>
      </c>
      <c r="L117" s="44">
        <v>77</v>
      </c>
      <c r="M117" s="53">
        <v>5</v>
      </c>
      <c r="N117" s="53" t="s">
        <v>248</v>
      </c>
      <c r="O117" s="66" t="s">
        <v>211</v>
      </c>
    </row>
    <row r="118" spans="2:15" ht="29" x14ac:dyDescent="0.35">
      <c r="B118" s="84">
        <f>IF(Table1[[#This Row],[TANGGAL]]="","",ROW(N114))</f>
        <v>114</v>
      </c>
      <c r="C118" s="85">
        <v>46038</v>
      </c>
      <c r="D118" s="86" t="s">
        <v>0</v>
      </c>
      <c r="E118" s="52" t="str">
        <f>INDEX(Table5[KATEGORI PROGRAM],MATCH(Table1[[#This Row],[NAMA PROGRAM]],Table5[NAMA PROGRAM],0))</f>
        <v>Pangan</v>
      </c>
      <c r="F118" s="43" t="s">
        <v>384</v>
      </c>
      <c r="G118" s="87" t="s">
        <v>247</v>
      </c>
      <c r="H118" s="53" t="s">
        <v>96</v>
      </c>
      <c r="I118" s="53" t="str">
        <f>INDEX(Table2[Kecamatan],MATCH(Table1[[#This Row],[KELURAHAN / DESA]],Table2[Kelurahan],0))</f>
        <v>Kertapati</v>
      </c>
      <c r="J118" s="53" t="str">
        <f>INDEX(Table2[Kabupaten/Kota],MATCH(Table1[[#This Row],[KECAMATAN]],Table2[Kecamatan],0))</f>
        <v>Palembang</v>
      </c>
      <c r="K118" s="86" t="str">
        <f>INDEX(Table2[Provinsi],MATCH(Table1[[#This Row],[KAB./KOTA]],Table2[Kabupaten/Kota],0))</f>
        <v>Sumatera Selatan</v>
      </c>
      <c r="L118" s="44">
        <v>80</v>
      </c>
      <c r="M118" s="53" t="s">
        <v>394</v>
      </c>
      <c r="N118" s="53" t="s">
        <v>248</v>
      </c>
      <c r="O118" s="66" t="s">
        <v>211</v>
      </c>
    </row>
    <row r="119" spans="2:15" ht="29" x14ac:dyDescent="0.35">
      <c r="B119" s="84">
        <f>IF(Table1[[#This Row],[TANGGAL]]="","",ROW(N115))</f>
        <v>115</v>
      </c>
      <c r="C119" s="85">
        <v>46038</v>
      </c>
      <c r="D119" s="86" t="s">
        <v>0</v>
      </c>
      <c r="E119" s="52" t="str">
        <f>INDEX(Table5[KATEGORI PROGRAM],MATCH(Table1[[#This Row],[NAMA PROGRAM]],Table5[NAMA PROGRAM],0))</f>
        <v>Pangan</v>
      </c>
      <c r="F119" s="43" t="s">
        <v>372</v>
      </c>
      <c r="G119" s="87" t="s">
        <v>322</v>
      </c>
      <c r="H119" s="53" t="s">
        <v>99</v>
      </c>
      <c r="I119" s="53" t="str">
        <f>INDEX(Table2[Kecamatan],MATCH(Table1[[#This Row],[KELURAHAN / DESA]],Table2[Kelurahan],0))</f>
        <v>Kertapati</v>
      </c>
      <c r="J119" s="53" t="str">
        <f>INDEX(Table2[Kabupaten/Kota],MATCH(Table1[[#This Row],[KECAMATAN]],Table2[Kecamatan],0))</f>
        <v>Palembang</v>
      </c>
      <c r="K119" s="86" t="str">
        <f>INDEX(Table2[Provinsi],MATCH(Table1[[#This Row],[KAB./KOTA]],Table2[Kabupaten/Kota],0))</f>
        <v>Sumatera Selatan</v>
      </c>
      <c r="L119" s="44">
        <v>120</v>
      </c>
      <c r="M119" s="53" t="s">
        <v>307</v>
      </c>
      <c r="N119" s="53" t="s">
        <v>377</v>
      </c>
      <c r="O119" s="66" t="s">
        <v>214</v>
      </c>
    </row>
    <row r="120" spans="2:15" ht="29" x14ac:dyDescent="0.35">
      <c r="B120" s="84">
        <f>IF(Table1[[#This Row],[TANGGAL]]="","",ROW(N116))</f>
        <v>116</v>
      </c>
      <c r="C120" s="85">
        <v>46039</v>
      </c>
      <c r="D120" s="86" t="s">
        <v>2</v>
      </c>
      <c r="E120" s="52" t="str">
        <f>INDEX(Table5[KATEGORI PROGRAM],MATCH(Table1[[#This Row],[NAMA PROGRAM]],Table5[NAMA PROGRAM],0))</f>
        <v>Pendidikan</v>
      </c>
      <c r="F120" s="43" t="s">
        <v>470</v>
      </c>
      <c r="G120" s="87" t="s">
        <v>471</v>
      </c>
      <c r="H120" s="53" t="s">
        <v>99</v>
      </c>
      <c r="I120" s="53" t="str">
        <f>INDEX(Table2[Kecamatan],MATCH(Table1[[#This Row],[KELURAHAN / DESA]],Table2[Kelurahan],0))</f>
        <v>Kertapati</v>
      </c>
      <c r="J120" s="53" t="str">
        <f>INDEX(Table2[Kabupaten/Kota],MATCH(Table1[[#This Row],[KECAMATAN]],Table2[Kecamatan],0))</f>
        <v>Palembang</v>
      </c>
      <c r="K120" s="86" t="str">
        <f>INDEX(Table2[Provinsi],MATCH(Table1[[#This Row],[KAB./KOTA]],Table2[Kabupaten/Kota],0))</f>
        <v>Sumatera Selatan</v>
      </c>
      <c r="L120" s="44">
        <v>64</v>
      </c>
      <c r="M120" s="53">
        <v>4</v>
      </c>
      <c r="N120" s="53" t="s">
        <v>472</v>
      </c>
      <c r="O120" s="66" t="s">
        <v>211</v>
      </c>
    </row>
    <row r="121" spans="2:15" ht="31" x14ac:dyDescent="0.35">
      <c r="B121" s="84">
        <f>IF(Table1[[#This Row],[TANGGAL]]="","",ROW(N117))</f>
        <v>117</v>
      </c>
      <c r="C121" s="85">
        <v>46039</v>
      </c>
      <c r="D121" s="86" t="s">
        <v>327</v>
      </c>
      <c r="E121" s="52" t="str">
        <f>INDEX(Table5[KATEGORI PROGRAM],MATCH(Table1[[#This Row],[NAMA PROGRAM]],Table5[NAMA PROGRAM],0))</f>
        <v>Respon Bencana (Recovery)</v>
      </c>
      <c r="F121" s="43" t="s">
        <v>509</v>
      </c>
      <c r="G121" s="87" t="s">
        <v>512</v>
      </c>
      <c r="H121" s="53" t="s">
        <v>510</v>
      </c>
      <c r="I121" s="53" t="str">
        <f>INDEX(Table2[Kecamatan],MATCH(Table1[[#This Row],[KELURAHAN / DESA]],Table2[Kelurahan],0))</f>
        <v>Manyak Payed</v>
      </c>
      <c r="J121" s="53" t="str">
        <f>INDEX(Table2[Kabupaten/Kota],MATCH(Table1[[#This Row],[KECAMATAN]],Table2[Kecamatan],0))</f>
        <v>Aceh Tamiang</v>
      </c>
      <c r="K121" s="86" t="str">
        <f>INDEX(Table2[Provinsi],MATCH(Table1[[#This Row],[KAB./KOTA]],Table2[Kabupaten/Kota],0))</f>
        <v>Nangroe Aceh Darussalam</v>
      </c>
      <c r="L121" s="44">
        <v>100</v>
      </c>
      <c r="M121" s="53" t="s">
        <v>340</v>
      </c>
      <c r="N121" s="53" t="s">
        <v>400</v>
      </c>
      <c r="O121" s="66" t="s">
        <v>225</v>
      </c>
    </row>
    <row r="122" spans="2:15" ht="31" x14ac:dyDescent="0.35">
      <c r="B122" s="84">
        <f>IF(Table1[[#This Row],[TANGGAL]]="","",ROW(N118))</f>
        <v>118</v>
      </c>
      <c r="C122" s="85">
        <v>46039</v>
      </c>
      <c r="D122" s="86" t="s">
        <v>459</v>
      </c>
      <c r="E122" s="52" t="str">
        <f>INDEX(Table5[KATEGORI PROGRAM],MATCH(Table1[[#This Row],[NAMA PROGRAM]],Table5[NAMA PROGRAM],0))</f>
        <v>Respon Bencana (Bantuan Air Bersih)</v>
      </c>
      <c r="F122" s="43" t="s">
        <v>513</v>
      </c>
      <c r="G122" s="87" t="s">
        <v>515</v>
      </c>
      <c r="H122" s="53" t="s">
        <v>514</v>
      </c>
      <c r="I122" s="53" t="str">
        <f>INDEX(Table2[Kecamatan],MATCH(Table1[[#This Row],[KELURAHAN / DESA]],Table2[Kelurahan],0))</f>
        <v>Tamiang Hulu</v>
      </c>
      <c r="J122" s="53" t="str">
        <f>INDEX(Table2[Kabupaten/Kota],MATCH(Table1[[#This Row],[KECAMATAN]],Table2[Kecamatan],0))</f>
        <v>Aceh Tamiang</v>
      </c>
      <c r="K122" s="86" t="str">
        <f>INDEX(Table2[Provinsi],MATCH(Table1[[#This Row],[KAB./KOTA]],Table2[Kabupaten/Kota],0))</f>
        <v>Nangroe Aceh Darussalam</v>
      </c>
      <c r="L122" s="44">
        <v>650</v>
      </c>
      <c r="M122" s="53" t="s">
        <v>516</v>
      </c>
      <c r="N122" s="53" t="s">
        <v>400</v>
      </c>
      <c r="O122" s="66" t="s">
        <v>225</v>
      </c>
    </row>
    <row r="123" spans="2:15" ht="29" x14ac:dyDescent="0.35">
      <c r="B123" s="84">
        <f>IF(Table1[[#This Row],[TANGGAL]]="","",ROW(N119))</f>
        <v>119</v>
      </c>
      <c r="C123" s="85">
        <v>46039</v>
      </c>
      <c r="D123" s="86" t="s">
        <v>9</v>
      </c>
      <c r="E123" s="52" t="str">
        <f>INDEX(Table5[KATEGORI PROGRAM],MATCH(Table1[[#This Row],[NAMA PROGRAM]],Table5[NAMA PROGRAM],0))</f>
        <v>Pangan</v>
      </c>
      <c r="F123" s="43" t="s">
        <v>372</v>
      </c>
      <c r="G123" s="87" t="s">
        <v>242</v>
      </c>
      <c r="H123" s="53" t="s">
        <v>99</v>
      </c>
      <c r="I123" s="53" t="str">
        <f>INDEX(Table2[Kecamatan],MATCH(Table1[[#This Row],[KELURAHAN / DESA]],Table2[Kelurahan],0))</f>
        <v>Kertapati</v>
      </c>
      <c r="J123" s="53" t="str">
        <f>INDEX(Table2[Kabupaten/Kota],MATCH(Table1[[#This Row],[KECAMATAN]],Table2[Kecamatan],0))</f>
        <v>Palembang</v>
      </c>
      <c r="K123" s="86" t="str">
        <f>INDEX(Table2[Provinsi],MATCH(Table1[[#This Row],[KAB./KOTA]],Table2[Kabupaten/Kota],0))</f>
        <v>Sumatera Selatan</v>
      </c>
      <c r="L123" s="44">
        <v>80</v>
      </c>
      <c r="M123" s="53">
        <v>5</v>
      </c>
      <c r="N123" s="53" t="s">
        <v>389</v>
      </c>
      <c r="O123" s="66" t="s">
        <v>225</v>
      </c>
    </row>
    <row r="124" spans="2:15" ht="29" x14ac:dyDescent="0.35">
      <c r="B124" s="84">
        <f>IF(Table1[[#This Row],[TANGGAL]]="","",ROW(N120))</f>
        <v>120</v>
      </c>
      <c r="C124" s="85">
        <v>46039</v>
      </c>
      <c r="D124" s="86" t="s">
        <v>7</v>
      </c>
      <c r="E124" s="52" t="str">
        <f>INDEX(Table5[KATEGORI PROGRAM],MATCH(Table1[[#This Row],[NAMA PROGRAM]],Table5[NAMA PROGRAM],0))</f>
        <v>Pendidikan</v>
      </c>
      <c r="F124" s="43" t="s">
        <v>372</v>
      </c>
      <c r="G124" s="87" t="s">
        <v>242</v>
      </c>
      <c r="H124" s="53" t="s">
        <v>99</v>
      </c>
      <c r="I124" s="53" t="str">
        <f>INDEX(Table2[Kecamatan],MATCH(Table1[[#This Row],[KELURAHAN / DESA]],Table2[Kelurahan],0))</f>
        <v>Kertapati</v>
      </c>
      <c r="J124" s="53" t="str">
        <f>INDEX(Table2[Kabupaten/Kota],MATCH(Table1[[#This Row],[KECAMATAN]],Table2[Kecamatan],0))</f>
        <v>Palembang</v>
      </c>
      <c r="K124" s="86" t="str">
        <f>INDEX(Table2[Provinsi],MATCH(Table1[[#This Row],[KAB./KOTA]],Table2[Kabupaten/Kota],0))</f>
        <v>Sumatera Selatan</v>
      </c>
      <c r="L124" s="44">
        <v>24</v>
      </c>
      <c r="M124" s="53">
        <v>3</v>
      </c>
      <c r="N124" s="53" t="s">
        <v>243</v>
      </c>
      <c r="O124" s="66" t="s">
        <v>211</v>
      </c>
    </row>
    <row r="125" spans="2:15" ht="29" x14ac:dyDescent="0.35">
      <c r="B125" s="84">
        <f>IF(Table1[[#This Row],[TANGGAL]]="","",ROW(N121))</f>
        <v>121</v>
      </c>
      <c r="C125" s="85">
        <v>46040</v>
      </c>
      <c r="D125" s="86" t="s">
        <v>3</v>
      </c>
      <c r="E125" s="52" t="str">
        <f>INDEX(Table5[KATEGORI PROGRAM],MATCH(Table1[[#This Row],[NAMA PROGRAM]],Table5[NAMA PROGRAM],0))</f>
        <v>Pendidikan</v>
      </c>
      <c r="F125" s="43" t="s">
        <v>373</v>
      </c>
      <c r="G125" s="87" t="s">
        <v>3</v>
      </c>
      <c r="H125" s="53" t="s">
        <v>82</v>
      </c>
      <c r="I125" s="53" t="str">
        <f>INDEX(Table2[Kecamatan],MATCH(Table1[[#This Row],[KELURAHAN / DESA]],Table2[Kelurahan],0))</f>
        <v>Jakabaring</v>
      </c>
      <c r="J125" s="53" t="str">
        <f>INDEX(Table2[Kabupaten/Kota],MATCH(Table1[[#This Row],[KECAMATAN]],Table2[Kecamatan],0))</f>
        <v>Palembang</v>
      </c>
      <c r="K125" s="86" t="str">
        <f>INDEX(Table2[Provinsi],MATCH(Table1[[#This Row],[KAB./KOTA]],Table2[Kabupaten/Kota],0))</f>
        <v>Sumatera Selatan</v>
      </c>
      <c r="L125" s="44">
        <v>27</v>
      </c>
      <c r="M125" s="53">
        <v>2</v>
      </c>
      <c r="N125" s="53" t="s">
        <v>249</v>
      </c>
      <c r="O125" s="66" t="s">
        <v>211</v>
      </c>
    </row>
    <row r="126" spans="2:15" ht="29" x14ac:dyDescent="0.35">
      <c r="B126" s="84">
        <f>IF(Table1[[#This Row],[TANGGAL]]="","",ROW(N122))</f>
        <v>122</v>
      </c>
      <c r="C126" s="85">
        <v>46040</v>
      </c>
      <c r="D126" s="86" t="s">
        <v>6</v>
      </c>
      <c r="E126" s="52" t="str">
        <f>INDEX(Table5[KATEGORI PROGRAM],MATCH(Table1[[#This Row],[NAMA PROGRAM]],Table5[NAMA PROGRAM],0))</f>
        <v>Pendidikan</v>
      </c>
      <c r="F126" s="43" t="s">
        <v>384</v>
      </c>
      <c r="G126" s="87" t="s">
        <v>247</v>
      </c>
      <c r="H126" s="53" t="s">
        <v>96</v>
      </c>
      <c r="I126" s="53" t="str">
        <f>INDEX(Table2[Kecamatan],MATCH(Table1[[#This Row],[KELURAHAN / DESA]],Table2[Kelurahan],0))</f>
        <v>Kertapati</v>
      </c>
      <c r="J126" s="53" t="str">
        <f>INDEX(Table2[Kabupaten/Kota],MATCH(Table1[[#This Row],[KECAMATAN]],Table2[Kecamatan],0))</f>
        <v>Palembang</v>
      </c>
      <c r="K126" s="86" t="str">
        <f>INDEX(Table2[Provinsi],MATCH(Table1[[#This Row],[KAB./KOTA]],Table2[Kabupaten/Kota],0))</f>
        <v>Sumatera Selatan</v>
      </c>
      <c r="L126" s="44">
        <v>50</v>
      </c>
      <c r="M126" s="53">
        <v>3</v>
      </c>
      <c r="N126" s="53" t="s">
        <v>248</v>
      </c>
      <c r="O126" s="66" t="s">
        <v>211</v>
      </c>
    </row>
    <row r="127" spans="2:15" ht="31" x14ac:dyDescent="0.35">
      <c r="B127" s="84">
        <f>IF(Table1[[#This Row],[TANGGAL]]="","",ROW(N123))</f>
        <v>123</v>
      </c>
      <c r="C127" s="85">
        <v>46041</v>
      </c>
      <c r="D127" s="86" t="s">
        <v>9</v>
      </c>
      <c r="E127" s="52" t="str">
        <f>INDEX(Table5[KATEGORI PROGRAM],MATCH(Table1[[#This Row],[NAMA PROGRAM]],Table5[NAMA PROGRAM],0))</f>
        <v>Pangan</v>
      </c>
      <c r="F127" s="43" t="s">
        <v>379</v>
      </c>
      <c r="G127" s="87" t="s">
        <v>380</v>
      </c>
      <c r="H127" s="53" t="s">
        <v>96</v>
      </c>
      <c r="I127" s="53" t="str">
        <f>INDEX(Table2[Kecamatan],MATCH(Table1[[#This Row],[KELURAHAN / DESA]],Table2[Kelurahan],0))</f>
        <v>Kertapati</v>
      </c>
      <c r="J127" s="53" t="str">
        <f>INDEX(Table2[Kabupaten/Kota],MATCH(Table1[[#This Row],[KECAMATAN]],Table2[Kecamatan],0))</f>
        <v>Palembang</v>
      </c>
      <c r="K127" s="86" t="str">
        <f>INDEX(Table2[Provinsi],MATCH(Table1[[#This Row],[KAB./KOTA]],Table2[Kabupaten/Kota],0))</f>
        <v>Sumatera Selatan</v>
      </c>
      <c r="L127" s="44">
        <v>22</v>
      </c>
      <c r="M127" s="53">
        <v>2</v>
      </c>
      <c r="N127" s="53" t="s">
        <v>378</v>
      </c>
      <c r="O127" s="66" t="s">
        <v>211</v>
      </c>
    </row>
    <row r="128" spans="2:15" ht="31" x14ac:dyDescent="0.35">
      <c r="B128" s="84">
        <f>IF(Table1[[#This Row],[TANGGAL]]="","",ROW(N124))</f>
        <v>124</v>
      </c>
      <c r="C128" s="85">
        <v>46041</v>
      </c>
      <c r="D128" s="86" t="s">
        <v>9</v>
      </c>
      <c r="E128" s="52" t="str">
        <f>INDEX(Table5[KATEGORI PROGRAM],MATCH(Table1[[#This Row],[NAMA PROGRAM]],Table5[NAMA PROGRAM],0))</f>
        <v>Pangan</v>
      </c>
      <c r="F128" s="43" t="s">
        <v>372</v>
      </c>
      <c r="G128" s="87" t="s">
        <v>381</v>
      </c>
      <c r="H128" s="53" t="s">
        <v>99</v>
      </c>
      <c r="I128" s="53" t="str">
        <f>INDEX(Table2[Kecamatan],MATCH(Table1[[#This Row],[KELURAHAN / DESA]],Table2[Kelurahan],0))</f>
        <v>Kertapati</v>
      </c>
      <c r="J128" s="53" t="str">
        <f>INDEX(Table2[Kabupaten/Kota],MATCH(Table1[[#This Row],[KECAMATAN]],Table2[Kecamatan],0))</f>
        <v>Palembang</v>
      </c>
      <c r="K128" s="86" t="str">
        <f>INDEX(Table2[Provinsi],MATCH(Table1[[#This Row],[KAB./KOTA]],Table2[Kabupaten/Kota],0))</f>
        <v>Sumatera Selatan</v>
      </c>
      <c r="L128" s="44">
        <v>39</v>
      </c>
      <c r="M128" s="53">
        <v>3</v>
      </c>
      <c r="N128" s="53" t="s">
        <v>378</v>
      </c>
      <c r="O128" s="66" t="s">
        <v>211</v>
      </c>
    </row>
    <row r="129" spans="2:15" ht="31" x14ac:dyDescent="0.35">
      <c r="B129" s="84">
        <f>IF(Table1[[#This Row],[TANGGAL]]="","",ROW(N125))</f>
        <v>125</v>
      </c>
      <c r="C129" s="85">
        <v>46041</v>
      </c>
      <c r="D129" s="86" t="s">
        <v>263</v>
      </c>
      <c r="E129" s="52" t="str">
        <f>INDEX(Table5[KATEGORI PROGRAM],MATCH(Table1[[#This Row],[NAMA PROGRAM]],Table5[NAMA PROGRAM],0))</f>
        <v>Respon Bencana (Pangan)</v>
      </c>
      <c r="F129" s="43" t="s">
        <v>518</v>
      </c>
      <c r="G129" s="87" t="s">
        <v>517</v>
      </c>
      <c r="H129" s="53" t="s">
        <v>316</v>
      </c>
      <c r="I129" s="53" t="str">
        <f>INDEX(Table2[Kecamatan],MATCH(Table1[[#This Row],[KELURAHAN / DESA]],Table2[Kelurahan],0))</f>
        <v>Kejuruan Muda</v>
      </c>
      <c r="J129" s="53" t="str">
        <f>INDEX(Table2[Kabupaten/Kota],MATCH(Table1[[#This Row],[KECAMATAN]],Table2[Kecamatan],0))</f>
        <v>Aceh Tamiang</v>
      </c>
      <c r="K129" s="86" t="str">
        <f>INDEX(Table2[Provinsi],MATCH(Table1[[#This Row],[KAB./KOTA]],Table2[Kabupaten/Kota],0))</f>
        <v>Nangroe Aceh Darussalam</v>
      </c>
      <c r="L129" s="44">
        <v>50</v>
      </c>
      <c r="M129" s="53" t="s">
        <v>519</v>
      </c>
      <c r="N129" s="53" t="s">
        <v>400</v>
      </c>
      <c r="O129" s="66" t="s">
        <v>225</v>
      </c>
    </row>
    <row r="130" spans="2:15" ht="31" x14ac:dyDescent="0.35">
      <c r="B130" s="84">
        <f>IF(Table1[[#This Row],[TANGGAL]]="","",ROW(N126))</f>
        <v>126</v>
      </c>
      <c r="C130" s="85">
        <v>46041</v>
      </c>
      <c r="D130" s="86" t="s">
        <v>312</v>
      </c>
      <c r="E130" s="52" t="str">
        <f>INDEX(Table5[KATEGORI PROGRAM],MATCH(Table1[[#This Row],[NAMA PROGRAM]],Table5[NAMA PROGRAM],0))</f>
        <v>Respon Bencana (Psikososial)</v>
      </c>
      <c r="F130" s="43" t="s">
        <v>518</v>
      </c>
      <c r="G130" s="87" t="s">
        <v>517</v>
      </c>
      <c r="H130" s="53" t="s">
        <v>316</v>
      </c>
      <c r="I130" s="53" t="str">
        <f>INDEX(Table2[Kecamatan],MATCH(Table1[[#This Row],[KELURAHAN / DESA]],Table2[Kelurahan],0))</f>
        <v>Kejuruan Muda</v>
      </c>
      <c r="J130" s="53" t="str">
        <f>INDEX(Table2[Kabupaten/Kota],MATCH(Table1[[#This Row],[KECAMATAN]],Table2[Kecamatan],0))</f>
        <v>Aceh Tamiang</v>
      </c>
      <c r="K130" s="86" t="str">
        <f>INDEX(Table2[Provinsi],MATCH(Table1[[#This Row],[KAB./KOTA]],Table2[Kabupaten/Kota],0))</f>
        <v>Nangroe Aceh Darussalam</v>
      </c>
      <c r="L130" s="44">
        <v>50</v>
      </c>
      <c r="M130" s="53" t="s">
        <v>4</v>
      </c>
      <c r="N130" s="53" t="s">
        <v>400</v>
      </c>
      <c r="O130" s="66" t="s">
        <v>225</v>
      </c>
    </row>
    <row r="131" spans="2:15" ht="29" x14ac:dyDescent="0.35">
      <c r="B131" s="84">
        <f>IF(Table1[[#This Row],[TANGGAL]]="","",ROW(N127))</f>
        <v>127</v>
      </c>
      <c r="C131" s="85">
        <v>46041</v>
      </c>
      <c r="D131" s="86" t="s">
        <v>0</v>
      </c>
      <c r="E131" s="52" t="str">
        <f>INDEX(Table5[KATEGORI PROGRAM],MATCH(Table1[[#This Row],[NAMA PROGRAM]],Table5[NAMA PROGRAM],0))</f>
        <v>Pangan</v>
      </c>
      <c r="F131" s="43" t="s">
        <v>369</v>
      </c>
      <c r="G131" s="87" t="s">
        <v>370</v>
      </c>
      <c r="H131" s="53" t="s">
        <v>40</v>
      </c>
      <c r="I131" s="53" t="str">
        <f>INDEX(Table2[Kecamatan],MATCH(Table1[[#This Row],[KELURAHAN / DESA]],Table2[Kelurahan],0))</f>
        <v>Bukit Kecil</v>
      </c>
      <c r="J131" s="53" t="str">
        <f>INDEX(Table2[Kabupaten/Kota],MATCH(Table1[[#This Row],[KECAMATAN]],Table2[Kecamatan],0))</f>
        <v>Palembang</v>
      </c>
      <c r="K131" s="86" t="str">
        <f>INDEX(Table2[Provinsi],MATCH(Table1[[#This Row],[KAB./KOTA]],Table2[Kabupaten/Kota],0))</f>
        <v>Sumatera Selatan</v>
      </c>
      <c r="L131" s="44">
        <v>200</v>
      </c>
      <c r="M131" s="53" t="s">
        <v>394</v>
      </c>
      <c r="N131" s="53" t="s">
        <v>506</v>
      </c>
      <c r="O131" s="66" t="s">
        <v>217</v>
      </c>
    </row>
    <row r="132" spans="2:15" ht="31" x14ac:dyDescent="0.35">
      <c r="B132" s="84">
        <f>IF(Table1[[#This Row],[TANGGAL]]="","",ROW(N128))</f>
        <v>128</v>
      </c>
      <c r="C132" s="85">
        <v>46042</v>
      </c>
      <c r="D132" s="86" t="s">
        <v>569</v>
      </c>
      <c r="E132" s="52" t="str">
        <f>INDEX(Table5[KATEGORI PROGRAM],MATCH(Table1[[#This Row],[NAMA PROGRAM]],Table5[NAMA PROGRAM],0))</f>
        <v>Respon Bencana (Recovery)</v>
      </c>
      <c r="F132" s="43" t="s">
        <v>518</v>
      </c>
      <c r="G132" s="87" t="s">
        <v>517</v>
      </c>
      <c r="H132" s="53" t="s">
        <v>316</v>
      </c>
      <c r="I132" s="53" t="str">
        <f>INDEX(Table2[Kecamatan],MATCH(Table1[[#This Row],[KELURAHAN / DESA]],Table2[Kelurahan],0))</f>
        <v>Kejuruan Muda</v>
      </c>
      <c r="J132" s="53" t="str">
        <f>INDEX(Table2[Kabupaten/Kota],MATCH(Table1[[#This Row],[KECAMATAN]],Table2[Kecamatan],0))</f>
        <v>Aceh Tamiang</v>
      </c>
      <c r="K132" s="86" t="str">
        <f>INDEX(Table2[Provinsi],MATCH(Table1[[#This Row],[KAB./KOTA]],Table2[Kabupaten/Kota],0))</f>
        <v>Nangroe Aceh Darussalam</v>
      </c>
      <c r="L132" s="44">
        <v>37</v>
      </c>
      <c r="M132" s="53" t="s">
        <v>4</v>
      </c>
      <c r="N132" s="53" t="s">
        <v>400</v>
      </c>
      <c r="O132" s="66" t="s">
        <v>225</v>
      </c>
    </row>
    <row r="133" spans="2:15" ht="31" x14ac:dyDescent="0.35">
      <c r="B133" s="84">
        <f>IF(Table1[[#This Row],[TANGGAL]]="","",ROW(N129))</f>
        <v>129</v>
      </c>
      <c r="C133" s="85">
        <v>46042</v>
      </c>
      <c r="D133" s="86" t="s">
        <v>263</v>
      </c>
      <c r="E133" s="52" t="str">
        <f>INDEX(Table5[KATEGORI PROGRAM],MATCH(Table1[[#This Row],[NAMA PROGRAM]],Table5[NAMA PROGRAM],0))</f>
        <v>Respon Bencana (Pangan)</v>
      </c>
      <c r="F133" s="43" t="s">
        <v>518</v>
      </c>
      <c r="G133" s="87" t="s">
        <v>517</v>
      </c>
      <c r="H133" s="53" t="s">
        <v>316</v>
      </c>
      <c r="I133" s="53" t="str">
        <f>INDEX(Table2[Kecamatan],MATCH(Table1[[#This Row],[KELURAHAN / DESA]],Table2[Kelurahan],0))</f>
        <v>Kejuruan Muda</v>
      </c>
      <c r="J133" s="53" t="str">
        <f>INDEX(Table2[Kabupaten/Kota],MATCH(Table1[[#This Row],[KECAMATAN]],Table2[Kecamatan],0))</f>
        <v>Aceh Tamiang</v>
      </c>
      <c r="K133" s="86" t="str">
        <f>INDEX(Table2[Provinsi],MATCH(Table1[[#This Row],[KAB./KOTA]],Table2[Kabupaten/Kota],0))</f>
        <v>Nangroe Aceh Darussalam</v>
      </c>
      <c r="L133" s="44">
        <v>37</v>
      </c>
      <c r="M133" s="53" t="s">
        <v>502</v>
      </c>
      <c r="N133" s="53" t="s">
        <v>400</v>
      </c>
      <c r="O133" s="66" t="s">
        <v>225</v>
      </c>
    </row>
    <row r="134" spans="2:15" ht="29" x14ac:dyDescent="0.35">
      <c r="B134" s="84">
        <f>IF(Table1[[#This Row],[TANGGAL]]="","",ROW(N130))</f>
        <v>130</v>
      </c>
      <c r="C134" s="85">
        <v>46042</v>
      </c>
      <c r="D134" s="86" t="s">
        <v>9</v>
      </c>
      <c r="E134" s="52" t="str">
        <f>INDEX(Table5[KATEGORI PROGRAM],MATCH(Table1[[#This Row],[NAMA PROGRAM]],Table5[NAMA PROGRAM],0))</f>
        <v>Pangan</v>
      </c>
      <c r="F134" s="43" t="s">
        <v>372</v>
      </c>
      <c r="G134" s="87" t="s">
        <v>322</v>
      </c>
      <c r="H134" s="53" t="s">
        <v>99</v>
      </c>
      <c r="I134" s="53" t="str">
        <f>INDEX(Table2[Kecamatan],MATCH(Table1[[#This Row],[KELURAHAN / DESA]],Table2[Kelurahan],0))</f>
        <v>Kertapati</v>
      </c>
      <c r="J134" s="53" t="str">
        <f>INDEX(Table2[Kabupaten/Kota],MATCH(Table1[[#This Row],[KECAMATAN]],Table2[Kecamatan],0))</f>
        <v>Palembang</v>
      </c>
      <c r="K134" s="86" t="str">
        <f>INDEX(Table2[Provinsi],MATCH(Table1[[#This Row],[KAB./KOTA]],Table2[Kabupaten/Kota],0))</f>
        <v>Sumatera Selatan</v>
      </c>
      <c r="L134" s="44">
        <v>100</v>
      </c>
      <c r="M134" s="53">
        <v>6</v>
      </c>
      <c r="N134" s="53" t="s">
        <v>377</v>
      </c>
      <c r="O134" s="66" t="s">
        <v>214</v>
      </c>
    </row>
    <row r="135" spans="2:15" ht="31" x14ac:dyDescent="0.35">
      <c r="B135" s="84">
        <f>IF(Table1[[#This Row],[TANGGAL]]="","",ROW(N131))</f>
        <v>131</v>
      </c>
      <c r="C135" s="85">
        <v>46043</v>
      </c>
      <c r="D135" s="86" t="s">
        <v>9</v>
      </c>
      <c r="E135" s="52" t="str">
        <f>INDEX(Table5[KATEGORI PROGRAM],MATCH(Table1[[#This Row],[NAMA PROGRAM]],Table5[NAMA PROGRAM],0))</f>
        <v>Pangan</v>
      </c>
      <c r="F135" s="43" t="s">
        <v>379</v>
      </c>
      <c r="G135" s="87" t="s">
        <v>380</v>
      </c>
      <c r="H135" s="53" t="s">
        <v>96</v>
      </c>
      <c r="I135" s="53" t="str">
        <f>INDEX(Table2[Kecamatan],MATCH(Table1[[#This Row],[KELURAHAN / DESA]],Table2[Kelurahan],0))</f>
        <v>Kertapati</v>
      </c>
      <c r="J135" s="53" t="str">
        <f>INDEX(Table2[Kabupaten/Kota],MATCH(Table1[[#This Row],[KECAMATAN]],Table2[Kecamatan],0))</f>
        <v>Palembang</v>
      </c>
      <c r="K135" s="86" t="str">
        <f>INDEX(Table2[Provinsi],MATCH(Table1[[#This Row],[KAB./KOTA]],Table2[Kabupaten/Kota],0))</f>
        <v>Sumatera Selatan</v>
      </c>
      <c r="L135" s="44">
        <v>25</v>
      </c>
      <c r="M135" s="53">
        <v>3</v>
      </c>
      <c r="N135" s="53" t="s">
        <v>378</v>
      </c>
      <c r="O135" s="66" t="s">
        <v>211</v>
      </c>
    </row>
    <row r="136" spans="2:15" ht="31" x14ac:dyDescent="0.35">
      <c r="B136" s="84">
        <f>IF(Table1[[#This Row],[TANGGAL]]="","",ROW(N132))</f>
        <v>132</v>
      </c>
      <c r="C136" s="85">
        <v>46043</v>
      </c>
      <c r="D136" s="86" t="s">
        <v>569</v>
      </c>
      <c r="E136" s="52" t="str">
        <f>INDEX(Table5[KATEGORI PROGRAM],MATCH(Table1[[#This Row],[NAMA PROGRAM]],Table5[NAMA PROGRAM],0))</f>
        <v>Respon Bencana (Recovery)</v>
      </c>
      <c r="F136" s="43" t="s">
        <v>518</v>
      </c>
      <c r="G136" s="87" t="s">
        <v>517</v>
      </c>
      <c r="H136" s="53" t="s">
        <v>316</v>
      </c>
      <c r="I136" s="53" t="str">
        <f>INDEX(Table2[Kecamatan],MATCH(Table1[[#This Row],[KELURAHAN / DESA]],Table2[Kelurahan],0))</f>
        <v>Kejuruan Muda</v>
      </c>
      <c r="J136" s="53" t="str">
        <f>INDEX(Table2[Kabupaten/Kota],MATCH(Table1[[#This Row],[KECAMATAN]],Table2[Kecamatan],0))</f>
        <v>Aceh Tamiang</v>
      </c>
      <c r="K136" s="86" t="str">
        <f>INDEX(Table2[Provinsi],MATCH(Table1[[#This Row],[KAB./KOTA]],Table2[Kabupaten/Kota],0))</f>
        <v>Nangroe Aceh Darussalam</v>
      </c>
      <c r="L136" s="44">
        <v>48</v>
      </c>
      <c r="M136" s="53" t="s">
        <v>4</v>
      </c>
      <c r="N136" s="53" t="s">
        <v>400</v>
      </c>
      <c r="O136" s="66" t="s">
        <v>225</v>
      </c>
    </row>
    <row r="137" spans="2:15" ht="29" x14ac:dyDescent="0.35">
      <c r="B137" s="84">
        <f>IF(Table1[[#This Row],[TANGGAL]]="","",ROW(N133))</f>
        <v>133</v>
      </c>
      <c r="C137" s="85">
        <v>46043</v>
      </c>
      <c r="D137" s="86" t="s">
        <v>9</v>
      </c>
      <c r="E137" s="52" t="str">
        <f>INDEX(Table5[KATEGORI PROGRAM],MATCH(Table1[[#This Row],[NAMA PROGRAM]],Table5[NAMA PROGRAM],0))</f>
        <v>Pangan</v>
      </c>
      <c r="F137" s="43" t="s">
        <v>520</v>
      </c>
      <c r="G137" s="87" t="s">
        <v>521</v>
      </c>
      <c r="H137" s="53" t="s">
        <v>47</v>
      </c>
      <c r="I137" s="53" t="str">
        <f>INDEX(Table2[Kecamatan],MATCH(Table1[[#This Row],[KELURAHAN / DESA]],Table2[Kelurahan],0))</f>
        <v>Ilir Barat I</v>
      </c>
      <c r="J137" s="53" t="str">
        <f>INDEX(Table2[Kabupaten/Kota],MATCH(Table1[[#This Row],[KECAMATAN]],Table2[Kecamatan],0))</f>
        <v>Palembang</v>
      </c>
      <c r="K137" s="86" t="str">
        <f>INDEX(Table2[Provinsi],MATCH(Table1[[#This Row],[KAB./KOTA]],Table2[Kabupaten/Kota],0))</f>
        <v>Sumatera Selatan</v>
      </c>
      <c r="L137" s="44">
        <v>50</v>
      </c>
      <c r="M137" s="53">
        <v>3</v>
      </c>
      <c r="N137" s="53" t="s">
        <v>522</v>
      </c>
      <c r="O137" s="66" t="s">
        <v>218</v>
      </c>
    </row>
    <row r="138" spans="2:15" ht="31" x14ac:dyDescent="0.35">
      <c r="B138" s="84">
        <f>IF(Table1[[#This Row],[TANGGAL]]="","",ROW(N134))</f>
        <v>134</v>
      </c>
      <c r="C138" s="85">
        <v>46043</v>
      </c>
      <c r="D138" s="86" t="s">
        <v>261</v>
      </c>
      <c r="E138" s="52" t="str">
        <f>INDEX(Table5[KATEGORI PROGRAM],MATCH(Table1[[#This Row],[NAMA PROGRAM]],Table5[NAMA PROGRAM],0))</f>
        <v>Respon Bencana (Psikososial)</v>
      </c>
      <c r="F138" s="43" t="s">
        <v>518</v>
      </c>
      <c r="G138" s="87" t="s">
        <v>517</v>
      </c>
      <c r="H138" s="53" t="s">
        <v>316</v>
      </c>
      <c r="I138" s="53" t="str">
        <f>INDEX(Table2[Kecamatan],MATCH(Table1[[#This Row],[KELURAHAN / DESA]],Table2[Kelurahan],0))</f>
        <v>Kejuruan Muda</v>
      </c>
      <c r="J138" s="53" t="str">
        <f>INDEX(Table2[Kabupaten/Kota],MATCH(Table1[[#This Row],[KECAMATAN]],Table2[Kecamatan],0))</f>
        <v>Aceh Tamiang</v>
      </c>
      <c r="K138" s="86" t="str">
        <f>INDEX(Table2[Provinsi],MATCH(Table1[[#This Row],[KAB./KOTA]],Table2[Kabupaten/Kota],0))</f>
        <v>Nangroe Aceh Darussalam</v>
      </c>
      <c r="L138" s="44">
        <v>48</v>
      </c>
      <c r="M138" s="53" t="s">
        <v>570</v>
      </c>
      <c r="N138" s="53" t="s">
        <v>400</v>
      </c>
      <c r="O138" s="66" t="s">
        <v>225</v>
      </c>
    </row>
    <row r="139" spans="2:15" ht="31" x14ac:dyDescent="0.35">
      <c r="B139" s="84">
        <f>IF(Table1[[#This Row],[TANGGAL]]="","",ROW(N135))</f>
        <v>135</v>
      </c>
      <c r="C139" s="85">
        <v>46043</v>
      </c>
      <c r="D139" s="86" t="s">
        <v>9</v>
      </c>
      <c r="E139" s="52" t="str">
        <f>INDEX(Table5[KATEGORI PROGRAM],MATCH(Table1[[#This Row],[NAMA PROGRAM]],Table5[NAMA PROGRAM],0))</f>
        <v>Pangan</v>
      </c>
      <c r="F139" s="43" t="s">
        <v>372</v>
      </c>
      <c r="G139" s="87" t="s">
        <v>381</v>
      </c>
      <c r="H139" s="53" t="s">
        <v>99</v>
      </c>
      <c r="I139" s="53" t="str">
        <f>INDEX(Table2[Kecamatan],MATCH(Table1[[#This Row],[KELURAHAN / DESA]],Table2[Kelurahan],0))</f>
        <v>Kertapati</v>
      </c>
      <c r="J139" s="53" t="str">
        <f>INDEX(Table2[Kabupaten/Kota],MATCH(Table1[[#This Row],[KECAMATAN]],Table2[Kecamatan],0))</f>
        <v>Palembang</v>
      </c>
      <c r="K139" s="86" t="str">
        <f>INDEX(Table2[Provinsi],MATCH(Table1[[#This Row],[KAB./KOTA]],Table2[Kabupaten/Kota],0))</f>
        <v>Sumatera Selatan</v>
      </c>
      <c r="L139" s="44">
        <v>39</v>
      </c>
      <c r="M139" s="53">
        <v>3</v>
      </c>
      <c r="N139" s="53" t="s">
        <v>378</v>
      </c>
      <c r="O139" s="66" t="s">
        <v>211</v>
      </c>
    </row>
    <row r="140" spans="2:15" ht="29" x14ac:dyDescent="0.35">
      <c r="B140" s="84">
        <f>IF(Table1[[#This Row],[TANGGAL]]="","",ROW(N136))</f>
        <v>136</v>
      </c>
      <c r="C140" s="85">
        <v>46043</v>
      </c>
      <c r="D140" s="86" t="s">
        <v>9</v>
      </c>
      <c r="E140" s="52" t="str">
        <f>INDEX(Table5[KATEGORI PROGRAM],MATCH(Table1[[#This Row],[NAMA PROGRAM]],Table5[NAMA PROGRAM],0))</f>
        <v>Pangan</v>
      </c>
      <c r="F140" s="43" t="s">
        <v>372</v>
      </c>
      <c r="G140" s="87" t="s">
        <v>322</v>
      </c>
      <c r="H140" s="53" t="s">
        <v>99</v>
      </c>
      <c r="I140" s="53" t="str">
        <f>INDEX(Table2[Kecamatan],MATCH(Table1[[#This Row],[KELURAHAN / DESA]],Table2[Kelurahan],0))</f>
        <v>Kertapati</v>
      </c>
      <c r="J140" s="53" t="str">
        <f>INDEX(Table2[Kabupaten/Kota],MATCH(Table1[[#This Row],[KECAMATAN]],Table2[Kecamatan],0))</f>
        <v>Palembang</v>
      </c>
      <c r="K140" s="86" t="str">
        <f>INDEX(Table2[Provinsi],MATCH(Table1[[#This Row],[KAB./KOTA]],Table2[Kabupaten/Kota],0))</f>
        <v>Sumatera Selatan</v>
      </c>
      <c r="L140" s="44">
        <v>80</v>
      </c>
      <c r="M140" s="53">
        <v>5</v>
      </c>
      <c r="N140" s="53" t="s">
        <v>377</v>
      </c>
      <c r="O140" s="66" t="s">
        <v>214</v>
      </c>
    </row>
    <row r="141" spans="2:15" ht="31" x14ac:dyDescent="0.35">
      <c r="B141" s="84">
        <f>IF(Table1[[#This Row],[TANGGAL]]="","",ROW(N137))</f>
        <v>137</v>
      </c>
      <c r="C141" s="85">
        <v>46043</v>
      </c>
      <c r="D141" s="86" t="s">
        <v>9</v>
      </c>
      <c r="E141" s="52" t="str">
        <f>INDEX(Table5[KATEGORI PROGRAM],MATCH(Table1[[#This Row],[NAMA PROGRAM]],Table5[NAMA PROGRAM],0))</f>
        <v>Pangan</v>
      </c>
      <c r="F141" s="43" t="s">
        <v>523</v>
      </c>
      <c r="G141" s="87" t="s">
        <v>524</v>
      </c>
      <c r="H141" s="53" t="s">
        <v>99</v>
      </c>
      <c r="I141" s="53" t="str">
        <f>INDEX(Table2[Kecamatan],MATCH(Table1[[#This Row],[KELURAHAN / DESA]],Table2[Kelurahan],0))</f>
        <v>Kertapati</v>
      </c>
      <c r="J141" s="53" t="str">
        <f>INDEX(Table2[Kabupaten/Kota],MATCH(Table1[[#This Row],[KECAMATAN]],Table2[Kecamatan],0))</f>
        <v>Palembang</v>
      </c>
      <c r="K141" s="86" t="str">
        <f>INDEX(Table2[Provinsi],MATCH(Table1[[#This Row],[KAB./KOTA]],Table2[Kabupaten/Kota],0))</f>
        <v>Sumatera Selatan</v>
      </c>
      <c r="L141" s="44">
        <v>50</v>
      </c>
      <c r="M141" s="53">
        <v>2</v>
      </c>
      <c r="N141" s="53" t="s">
        <v>308</v>
      </c>
      <c r="O141" s="66" t="s">
        <v>225</v>
      </c>
    </row>
    <row r="142" spans="2:15" ht="29" x14ac:dyDescent="0.35">
      <c r="B142" s="84">
        <f>IF(Table1[[#This Row],[TANGGAL]]="","",ROW(N138))</f>
        <v>138</v>
      </c>
      <c r="C142" s="85">
        <v>46043</v>
      </c>
      <c r="D142" s="86" t="s">
        <v>9</v>
      </c>
      <c r="E142" s="52" t="str">
        <f>INDEX(Table5[KATEGORI PROGRAM],MATCH(Table1[[#This Row],[NAMA PROGRAM]],Table5[NAMA PROGRAM],0))</f>
        <v>Pangan</v>
      </c>
      <c r="F142" s="43" t="s">
        <v>528</v>
      </c>
      <c r="G142" s="87" t="s">
        <v>527</v>
      </c>
      <c r="H142" s="53" t="s">
        <v>47</v>
      </c>
      <c r="I142" s="53" t="str">
        <f>INDEX(Table2[Kecamatan],MATCH(Table1[[#This Row],[KELURAHAN / DESA]],Table2[Kelurahan],0))</f>
        <v>Ilir Barat I</v>
      </c>
      <c r="J142" s="53" t="str">
        <f>INDEX(Table2[Kabupaten/Kota],MATCH(Table1[[#This Row],[KECAMATAN]],Table2[Kecamatan],0))</f>
        <v>Palembang</v>
      </c>
      <c r="K142" s="86" t="str">
        <f>INDEX(Table2[Provinsi],MATCH(Table1[[#This Row],[KAB./KOTA]],Table2[Kabupaten/Kota],0))</f>
        <v>Sumatera Selatan</v>
      </c>
      <c r="L142" s="44">
        <v>50</v>
      </c>
      <c r="M142" s="53">
        <v>4</v>
      </c>
      <c r="N142" s="53" t="s">
        <v>308</v>
      </c>
      <c r="O142" s="66" t="s">
        <v>225</v>
      </c>
    </row>
    <row r="143" spans="2:15" ht="29" x14ac:dyDescent="0.35">
      <c r="B143" s="84">
        <f>IF(Table1[[#This Row],[TANGGAL]]="","",ROW(N139))</f>
        <v>139</v>
      </c>
      <c r="C143" s="85">
        <v>46043</v>
      </c>
      <c r="D143" s="86" t="s">
        <v>9</v>
      </c>
      <c r="E143" s="52" t="str">
        <f>INDEX(Table5[KATEGORI PROGRAM],MATCH(Table1[[#This Row],[NAMA PROGRAM]],Table5[NAMA PROGRAM],0))</f>
        <v>Pangan</v>
      </c>
      <c r="F143" s="43" t="s">
        <v>525</v>
      </c>
      <c r="G143" s="87" t="s">
        <v>247</v>
      </c>
      <c r="H143" s="53" t="s">
        <v>96</v>
      </c>
      <c r="I143" s="53" t="str">
        <f>INDEX(Table2[Kecamatan],MATCH(Table1[[#This Row],[KELURAHAN / DESA]],Table2[Kelurahan],0))</f>
        <v>Kertapati</v>
      </c>
      <c r="J143" s="53" t="str">
        <f>INDEX(Table2[Kabupaten/Kota],MATCH(Table1[[#This Row],[KECAMATAN]],Table2[Kecamatan],0))</f>
        <v>Palembang</v>
      </c>
      <c r="K143" s="86" t="str">
        <f>INDEX(Table2[Provinsi],MATCH(Table1[[#This Row],[KAB./KOTA]],Table2[Kabupaten/Kota],0))</f>
        <v>Sumatera Selatan</v>
      </c>
      <c r="L143" s="44">
        <v>50</v>
      </c>
      <c r="M143" s="53">
        <v>2</v>
      </c>
      <c r="N143" s="53" t="s">
        <v>308</v>
      </c>
      <c r="O143" s="66" t="s">
        <v>225</v>
      </c>
    </row>
    <row r="144" spans="2:15" ht="29" x14ac:dyDescent="0.35">
      <c r="B144" s="84">
        <f>IF(Table1[[#This Row],[TANGGAL]]="","",ROW(N140))</f>
        <v>140</v>
      </c>
      <c r="C144" s="85">
        <v>46043</v>
      </c>
      <c r="D144" s="86" t="s">
        <v>9</v>
      </c>
      <c r="E144" s="52" t="str">
        <f>INDEX(Table5[KATEGORI PROGRAM],MATCH(Table1[[#This Row],[NAMA PROGRAM]],Table5[NAMA PROGRAM],0))</f>
        <v>Pangan</v>
      </c>
      <c r="F144" s="43" t="s">
        <v>526</v>
      </c>
      <c r="G144" s="87" t="s">
        <v>44</v>
      </c>
      <c r="H144" s="53" t="s">
        <v>44</v>
      </c>
      <c r="I144" s="53" t="str">
        <f>INDEX(Table2[Kecamatan],MATCH(Table1[[#This Row],[KELURAHAN / DESA]],Table2[Kelurahan],0))</f>
        <v>Gandus</v>
      </c>
      <c r="J144" s="53" t="str">
        <f>INDEX(Table2[Kabupaten/Kota],MATCH(Table1[[#This Row],[KECAMATAN]],Table2[Kecamatan],0))</f>
        <v>Palembang</v>
      </c>
      <c r="K144" s="86" t="str">
        <f>INDEX(Table2[Provinsi],MATCH(Table1[[#This Row],[KAB./KOTA]],Table2[Kabupaten/Kota],0))</f>
        <v>Sumatera Selatan</v>
      </c>
      <c r="L144" s="44">
        <v>60</v>
      </c>
      <c r="M144" s="53">
        <v>4</v>
      </c>
      <c r="N144" s="53" t="s">
        <v>308</v>
      </c>
      <c r="O144" s="66" t="s">
        <v>225</v>
      </c>
    </row>
    <row r="145" spans="2:15" ht="29" x14ac:dyDescent="0.35">
      <c r="B145" s="84">
        <f>IF(Table1[[#This Row],[TANGGAL]]="","",ROW(N141))</f>
        <v>141</v>
      </c>
      <c r="C145" s="85">
        <v>46044</v>
      </c>
      <c r="D145" s="86" t="s">
        <v>2</v>
      </c>
      <c r="E145" s="52" t="str">
        <f>INDEX(Table5[KATEGORI PROGRAM],MATCH(Table1[[#This Row],[NAMA PROGRAM]],Table5[NAMA PROGRAM],0))</f>
        <v>Pendidikan</v>
      </c>
      <c r="F145" s="43" t="s">
        <v>470</v>
      </c>
      <c r="G145" s="87" t="s">
        <v>471</v>
      </c>
      <c r="H145" s="53" t="s">
        <v>99</v>
      </c>
      <c r="I145" s="53" t="str">
        <f>INDEX(Table2[Kecamatan],MATCH(Table1[[#This Row],[KELURAHAN / DESA]],Table2[Kelurahan],0))</f>
        <v>Kertapati</v>
      </c>
      <c r="J145" s="53" t="str">
        <f>INDEX(Table2[Kabupaten/Kota],MATCH(Table1[[#This Row],[KECAMATAN]],Table2[Kecamatan],0))</f>
        <v>Palembang</v>
      </c>
      <c r="K145" s="86" t="str">
        <f>INDEX(Table2[Provinsi],MATCH(Table1[[#This Row],[KAB./KOTA]],Table2[Kabupaten/Kota],0))</f>
        <v>Sumatera Selatan</v>
      </c>
      <c r="L145" s="44">
        <v>67</v>
      </c>
      <c r="M145" s="53">
        <v>5</v>
      </c>
      <c r="N145" s="53" t="s">
        <v>472</v>
      </c>
      <c r="O145" s="66" t="s">
        <v>211</v>
      </c>
    </row>
    <row r="146" spans="2:15" ht="29" x14ac:dyDescent="0.35">
      <c r="B146" s="84">
        <f>IF(Table1[[#This Row],[TANGGAL]]="","",ROW(N142))</f>
        <v>142</v>
      </c>
      <c r="C146" s="85">
        <v>46044</v>
      </c>
      <c r="D146" s="86" t="s">
        <v>9</v>
      </c>
      <c r="E146" s="52" t="str">
        <f>INDEX(Table5[KATEGORI PROGRAM],MATCH(Table1[[#This Row],[NAMA PROGRAM]],Table5[NAMA PROGRAM],0))</f>
        <v>Pangan</v>
      </c>
      <c r="F146" s="43" t="s">
        <v>387</v>
      </c>
      <c r="G146" s="87" t="s">
        <v>388</v>
      </c>
      <c r="H146" s="53" t="s">
        <v>38</v>
      </c>
      <c r="I146" s="53" t="str">
        <f>INDEX(Table2[Kecamatan],MATCH(Table1[[#This Row],[KELURAHAN / DESA]],Table2[Kelurahan],0))</f>
        <v>Bukit Kecil</v>
      </c>
      <c r="J146" s="53" t="str">
        <f>INDEX(Table2[Kabupaten/Kota],MATCH(Table1[[#This Row],[KECAMATAN]],Table2[Kecamatan],0))</f>
        <v>Palembang</v>
      </c>
      <c r="K146" s="86" t="str">
        <f>INDEX(Table2[Provinsi],MATCH(Table1[[#This Row],[KAB./KOTA]],Table2[Kabupaten/Kota],0))</f>
        <v>Sumatera Selatan</v>
      </c>
      <c r="L146" s="44">
        <v>150</v>
      </c>
      <c r="M146" s="53">
        <v>12</v>
      </c>
      <c r="N146" s="53" t="s">
        <v>389</v>
      </c>
      <c r="O146" s="66" t="s">
        <v>225</v>
      </c>
    </row>
    <row r="147" spans="2:15" ht="31" x14ac:dyDescent="0.35">
      <c r="B147" s="84">
        <f>IF(Table1[[#This Row],[TANGGAL]]="","",ROW(N143))</f>
        <v>143</v>
      </c>
      <c r="C147" s="85">
        <v>46044</v>
      </c>
      <c r="D147" s="86" t="s">
        <v>569</v>
      </c>
      <c r="E147" s="52" t="str">
        <f>INDEX(Table5[KATEGORI PROGRAM],MATCH(Table1[[#This Row],[NAMA PROGRAM]],Table5[NAMA PROGRAM],0))</f>
        <v>Respon Bencana (Recovery)</v>
      </c>
      <c r="F147" s="43" t="s">
        <v>518</v>
      </c>
      <c r="G147" s="87" t="s">
        <v>517</v>
      </c>
      <c r="H147" s="53" t="s">
        <v>316</v>
      </c>
      <c r="I147" s="53" t="str">
        <f>INDEX(Table2[Kecamatan],MATCH(Table1[[#This Row],[KELURAHAN / DESA]],Table2[Kelurahan],0))</f>
        <v>Kejuruan Muda</v>
      </c>
      <c r="J147" s="53" t="str">
        <f>INDEX(Table2[Kabupaten/Kota],MATCH(Table1[[#This Row],[KECAMATAN]],Table2[Kecamatan],0))</f>
        <v>Aceh Tamiang</v>
      </c>
      <c r="K147" s="86" t="str">
        <f>INDEX(Table2[Provinsi],MATCH(Table1[[#This Row],[KAB./KOTA]],Table2[Kabupaten/Kota],0))</f>
        <v>Nangroe Aceh Darussalam</v>
      </c>
      <c r="L147" s="44">
        <v>49</v>
      </c>
      <c r="M147" s="53" t="s">
        <v>4</v>
      </c>
      <c r="N147" s="53" t="s">
        <v>400</v>
      </c>
      <c r="O147" s="66" t="s">
        <v>225</v>
      </c>
    </row>
    <row r="148" spans="2:15" ht="31" x14ac:dyDescent="0.35">
      <c r="B148" s="84">
        <f>IF(Table1[[#This Row],[TANGGAL]]="","",ROW(N144))</f>
        <v>144</v>
      </c>
      <c r="C148" s="85">
        <v>46044</v>
      </c>
      <c r="D148" s="86" t="s">
        <v>263</v>
      </c>
      <c r="E148" s="52" t="str">
        <f>INDEX(Table5[KATEGORI PROGRAM],MATCH(Table1[[#This Row],[NAMA PROGRAM]],Table5[NAMA PROGRAM],0))</f>
        <v>Respon Bencana (Pangan)</v>
      </c>
      <c r="F148" s="43" t="s">
        <v>518</v>
      </c>
      <c r="G148" s="87" t="s">
        <v>517</v>
      </c>
      <c r="H148" s="53" t="s">
        <v>316</v>
      </c>
      <c r="I148" s="53" t="str">
        <f>INDEX(Table2[Kecamatan],MATCH(Table1[[#This Row],[KELURAHAN / DESA]],Table2[Kelurahan],0))</f>
        <v>Kejuruan Muda</v>
      </c>
      <c r="J148" s="53" t="str">
        <f>INDEX(Table2[Kabupaten/Kota],MATCH(Table1[[#This Row],[KECAMATAN]],Table2[Kecamatan],0))</f>
        <v>Aceh Tamiang</v>
      </c>
      <c r="K148" s="86" t="str">
        <f>INDEX(Table2[Provinsi],MATCH(Table1[[#This Row],[KAB./KOTA]],Table2[Kabupaten/Kota],0))</f>
        <v>Nangroe Aceh Darussalam</v>
      </c>
      <c r="L148" s="44">
        <v>49</v>
      </c>
      <c r="M148" s="53" t="s">
        <v>571</v>
      </c>
      <c r="N148" s="53" t="s">
        <v>400</v>
      </c>
      <c r="O148" s="66" t="s">
        <v>225</v>
      </c>
    </row>
    <row r="149" spans="2:15" ht="29" x14ac:dyDescent="0.35">
      <c r="B149" s="84">
        <f>IF(Table1[[#This Row],[TANGGAL]]="","",ROW(N145))</f>
        <v>145</v>
      </c>
      <c r="C149" s="85">
        <v>46044</v>
      </c>
      <c r="D149" s="86" t="s">
        <v>7</v>
      </c>
      <c r="E149" s="52" t="str">
        <f>INDEX(Table5[KATEGORI PROGRAM],MATCH(Table1[[#This Row],[NAMA PROGRAM]],Table5[NAMA PROGRAM],0))</f>
        <v>Pendidikan</v>
      </c>
      <c r="F149" s="43" t="s">
        <v>372</v>
      </c>
      <c r="G149" s="87" t="s">
        <v>242</v>
      </c>
      <c r="H149" s="53" t="s">
        <v>99</v>
      </c>
      <c r="I149" s="53" t="str">
        <f>INDEX(Table2[Kecamatan],MATCH(Table1[[#This Row],[KELURAHAN / DESA]],Table2[Kelurahan],0))</f>
        <v>Kertapati</v>
      </c>
      <c r="J149" s="53" t="str">
        <f>INDEX(Table2[Kabupaten/Kota],MATCH(Table1[[#This Row],[KECAMATAN]],Table2[Kecamatan],0))</f>
        <v>Palembang</v>
      </c>
      <c r="K149" s="86" t="str">
        <f>INDEX(Table2[Provinsi],MATCH(Table1[[#This Row],[KAB./KOTA]],Table2[Kabupaten/Kota],0))</f>
        <v>Sumatera Selatan</v>
      </c>
      <c r="L149" s="44">
        <v>71</v>
      </c>
      <c r="M149" s="53">
        <v>5</v>
      </c>
      <c r="N149" s="53" t="s">
        <v>243</v>
      </c>
      <c r="O149" s="66" t="s">
        <v>211</v>
      </c>
    </row>
    <row r="150" spans="2:15" ht="31" x14ac:dyDescent="0.35">
      <c r="B150" s="84">
        <f>IF(Table1[[#This Row],[TANGGAL]]="","",ROW(N146))</f>
        <v>146</v>
      </c>
      <c r="C150" s="85">
        <v>46044</v>
      </c>
      <c r="D150" s="86" t="s">
        <v>330</v>
      </c>
      <c r="E150" s="52" t="str">
        <f>INDEX(Table5[KATEGORI PROGRAM],MATCH(Table1[[#This Row],[NAMA PROGRAM]],Table5[NAMA PROGRAM],0))</f>
        <v>Respon Bencana (Recovery)</v>
      </c>
      <c r="F150" s="43" t="s">
        <v>572</v>
      </c>
      <c r="G150" s="87" t="s">
        <v>574</v>
      </c>
      <c r="H150" s="53" t="s">
        <v>573</v>
      </c>
      <c r="I150" s="53" t="str">
        <f>INDEX(Table2[Kecamatan],MATCH(Table1[[#This Row],[KELURAHAN / DESA]],Table2[Kelurahan],0))</f>
        <v>Sekerak</v>
      </c>
      <c r="J150" s="53" t="str">
        <f>INDEX(Table2[Kabupaten/Kota],MATCH(Table1[[#This Row],[KECAMATAN]],Table2[Kecamatan],0))</f>
        <v>Aceh Tamiang</v>
      </c>
      <c r="K150" s="86" t="str">
        <f>INDEX(Table2[Provinsi],MATCH(Table1[[#This Row],[KAB./KOTA]],Table2[Kabupaten/Kota],0))</f>
        <v>Nangroe Aceh Darussalam</v>
      </c>
      <c r="L150" s="44">
        <v>30</v>
      </c>
      <c r="M150" s="53" t="s">
        <v>575</v>
      </c>
      <c r="N150" s="53" t="s">
        <v>400</v>
      </c>
      <c r="O150" s="66" t="s">
        <v>225</v>
      </c>
    </row>
    <row r="151" spans="2:15" ht="31" x14ac:dyDescent="0.35">
      <c r="B151" s="84">
        <f>IF(Table1[[#This Row],[TANGGAL]]="","",ROW(N147))</f>
        <v>147</v>
      </c>
      <c r="C151" s="85">
        <v>46045</v>
      </c>
      <c r="D151" s="86" t="s">
        <v>9</v>
      </c>
      <c r="E151" s="52" t="str">
        <f>INDEX(Table5[KATEGORI PROGRAM],MATCH(Table1[[#This Row],[NAMA PROGRAM]],Table5[NAMA PROGRAM],0))</f>
        <v>Pangan</v>
      </c>
      <c r="F151" s="43" t="s">
        <v>538</v>
      </c>
      <c r="G151" s="87" t="s">
        <v>537</v>
      </c>
      <c r="H151" s="53" t="s">
        <v>129</v>
      </c>
      <c r="I151" s="53" t="str">
        <f>INDEX(Table2[Kecamatan],MATCH(Table1[[#This Row],[KELURAHAN / DESA]],Table2[Kelurahan],0))</f>
        <v>Sukarami</v>
      </c>
      <c r="J151" s="53" t="str">
        <f>INDEX(Table2[Kabupaten/Kota],MATCH(Table1[[#This Row],[KECAMATAN]],Table2[Kecamatan],0))</f>
        <v>Palembang</v>
      </c>
      <c r="K151" s="86" t="str">
        <f>INDEX(Table2[Provinsi],MATCH(Table1[[#This Row],[KAB./KOTA]],Table2[Kabupaten/Kota],0))</f>
        <v>Sumatera Selatan</v>
      </c>
      <c r="L151" s="44">
        <v>40</v>
      </c>
      <c r="M151" s="53">
        <v>2</v>
      </c>
      <c r="N151" s="53" t="s">
        <v>506</v>
      </c>
      <c r="O151" s="66" t="s">
        <v>213</v>
      </c>
    </row>
    <row r="152" spans="2:15" ht="31" x14ac:dyDescent="0.35">
      <c r="B152" s="84">
        <f>IF(Table1[[#This Row],[TANGGAL]]="","",ROW(N148))</f>
        <v>148</v>
      </c>
      <c r="C152" s="85">
        <v>46045</v>
      </c>
      <c r="D152" s="86" t="s">
        <v>9</v>
      </c>
      <c r="E152" s="52" t="str">
        <f>INDEX(Table5[KATEGORI PROGRAM],MATCH(Table1[[#This Row],[NAMA PROGRAM]],Table5[NAMA PROGRAM],0))</f>
        <v>Pangan</v>
      </c>
      <c r="F152" s="43" t="s">
        <v>379</v>
      </c>
      <c r="G152" s="87" t="s">
        <v>380</v>
      </c>
      <c r="H152" s="53" t="s">
        <v>96</v>
      </c>
      <c r="I152" s="53" t="str">
        <f>INDEX(Table2[Kecamatan],MATCH(Table1[[#This Row],[KELURAHAN / DESA]],Table2[Kelurahan],0))</f>
        <v>Kertapati</v>
      </c>
      <c r="J152" s="53" t="str">
        <f>INDEX(Table2[Kabupaten/Kota],MATCH(Table1[[#This Row],[KECAMATAN]],Table2[Kecamatan],0))</f>
        <v>Palembang</v>
      </c>
      <c r="K152" s="86" t="str">
        <f>INDEX(Table2[Provinsi],MATCH(Table1[[#This Row],[KAB./KOTA]],Table2[Kabupaten/Kota],0))</f>
        <v>Sumatera Selatan</v>
      </c>
      <c r="L152" s="44">
        <v>25</v>
      </c>
      <c r="M152" s="53">
        <v>3</v>
      </c>
      <c r="N152" s="53" t="s">
        <v>378</v>
      </c>
      <c r="O152" s="66" t="s">
        <v>211</v>
      </c>
    </row>
    <row r="153" spans="2:15" ht="31" x14ac:dyDescent="0.35">
      <c r="B153" s="84">
        <f>IF(Table1[[#This Row],[TANGGAL]]="","",ROW(N149))</f>
        <v>149</v>
      </c>
      <c r="C153" s="85">
        <v>46045</v>
      </c>
      <c r="D153" s="86" t="s">
        <v>9</v>
      </c>
      <c r="E153" s="52" t="str">
        <f>INDEX(Table5[KATEGORI PROGRAM],MATCH(Table1[[#This Row],[NAMA PROGRAM]],Table5[NAMA PROGRAM],0))</f>
        <v>Pangan</v>
      </c>
      <c r="F153" s="43" t="s">
        <v>542</v>
      </c>
      <c r="G153" s="87" t="s">
        <v>541</v>
      </c>
      <c r="H153" s="53" t="s">
        <v>46</v>
      </c>
      <c r="I153" s="53" t="str">
        <f>INDEX(Table2[Kecamatan],MATCH(Table1[[#This Row],[KELURAHAN / DESA]],Table2[Kelurahan],0))</f>
        <v>Ilir Barat I</v>
      </c>
      <c r="J153" s="53" t="str">
        <f>INDEX(Table2[Kabupaten/Kota],MATCH(Table1[[#This Row],[KECAMATAN]],Table2[Kecamatan],0))</f>
        <v>Palembang</v>
      </c>
      <c r="K153" s="86" t="str">
        <f>INDEX(Table2[Provinsi],MATCH(Table1[[#This Row],[KAB./KOTA]],Table2[Kabupaten/Kota],0))</f>
        <v>Sumatera Selatan</v>
      </c>
      <c r="L153" s="44">
        <v>54</v>
      </c>
      <c r="M153" s="53">
        <v>2</v>
      </c>
      <c r="N153" s="53" t="s">
        <v>506</v>
      </c>
      <c r="O153" s="66" t="s">
        <v>213</v>
      </c>
    </row>
    <row r="154" spans="2:15" ht="31" x14ac:dyDescent="0.35">
      <c r="B154" s="84">
        <f>IF(Table1[[#This Row],[TANGGAL]]="","",ROW(N150))</f>
        <v>150</v>
      </c>
      <c r="C154" s="85">
        <v>46045</v>
      </c>
      <c r="D154" s="86" t="s">
        <v>9</v>
      </c>
      <c r="E154" s="52" t="str">
        <f>INDEX(Table5[KATEGORI PROGRAM],MATCH(Table1[[#This Row],[NAMA PROGRAM]],Table5[NAMA PROGRAM],0))</f>
        <v>Pangan</v>
      </c>
      <c r="F154" s="43" t="s">
        <v>539</v>
      </c>
      <c r="G154" s="87" t="s">
        <v>540</v>
      </c>
      <c r="H154" s="53" t="s">
        <v>132</v>
      </c>
      <c r="I154" s="53" t="str">
        <f>INDEX(Table2[Kecamatan],MATCH(Table1[[#This Row],[KELURAHAN / DESA]],Table2[Kelurahan],0))</f>
        <v>Sukarami</v>
      </c>
      <c r="J154" s="53" t="str">
        <f>INDEX(Table2[Kabupaten/Kota],MATCH(Table1[[#This Row],[KECAMATAN]],Table2[Kecamatan],0))</f>
        <v>Palembang</v>
      </c>
      <c r="K154" s="86" t="str">
        <f>INDEX(Table2[Provinsi],MATCH(Table1[[#This Row],[KAB./KOTA]],Table2[Kabupaten/Kota],0))</f>
        <v>Sumatera Selatan</v>
      </c>
      <c r="L154" s="44">
        <v>50</v>
      </c>
      <c r="M154" s="53">
        <v>2</v>
      </c>
      <c r="N154" s="53" t="s">
        <v>506</v>
      </c>
      <c r="O154" s="66" t="s">
        <v>213</v>
      </c>
    </row>
    <row r="155" spans="2:15" ht="31" x14ac:dyDescent="0.35">
      <c r="B155" s="84">
        <f>IF(Table1[[#This Row],[TANGGAL]]="","",ROW(N151))</f>
        <v>151</v>
      </c>
      <c r="C155" s="85">
        <v>46045</v>
      </c>
      <c r="D155" s="86" t="s">
        <v>569</v>
      </c>
      <c r="E155" s="88" t="str">
        <f>INDEX(Table5[KATEGORI PROGRAM],MATCH(Table1[[#This Row],[NAMA PROGRAM]],Table5[NAMA PROGRAM],0))</f>
        <v>Respon Bencana (Recovery)</v>
      </c>
      <c r="F155" s="43" t="s">
        <v>518</v>
      </c>
      <c r="G155" s="87" t="s">
        <v>517</v>
      </c>
      <c r="H155" s="53" t="s">
        <v>316</v>
      </c>
      <c r="I155" s="53" t="str">
        <f>INDEX(Table2[Kecamatan],MATCH(Table1[[#This Row],[KELURAHAN / DESA]],Table2[Kelurahan],0))</f>
        <v>Kejuruan Muda</v>
      </c>
      <c r="J155" s="53" t="str">
        <f>INDEX(Table2[Kabupaten/Kota],MATCH(Table1[[#This Row],[KECAMATAN]],Table2[Kecamatan],0))</f>
        <v>Aceh Tamiang</v>
      </c>
      <c r="K155" s="86" t="str">
        <f>INDEX(Table2[Provinsi],MATCH(Table1[[#This Row],[KAB./KOTA]],Table2[Kabupaten/Kota],0))</f>
        <v>Nangroe Aceh Darussalam</v>
      </c>
      <c r="L155" s="44">
        <v>45</v>
      </c>
      <c r="M155" s="53" t="s">
        <v>4</v>
      </c>
      <c r="N155" s="53" t="s">
        <v>400</v>
      </c>
      <c r="O155" s="66" t="s">
        <v>225</v>
      </c>
    </row>
    <row r="156" spans="2:15" ht="31" x14ac:dyDescent="0.35">
      <c r="B156" s="84">
        <f>IF(Table1[[#This Row],[TANGGAL]]="","",ROW(N152))</f>
        <v>152</v>
      </c>
      <c r="C156" s="85">
        <v>46045</v>
      </c>
      <c r="D156" s="86" t="s">
        <v>9</v>
      </c>
      <c r="E156" s="52" t="str">
        <f>INDEX(Table5[KATEGORI PROGRAM],MATCH(Table1[[#This Row],[NAMA PROGRAM]],Table5[NAMA PROGRAM],0))</f>
        <v>Pangan</v>
      </c>
      <c r="F156" s="43" t="s">
        <v>532</v>
      </c>
      <c r="G156" s="87" t="s">
        <v>533</v>
      </c>
      <c r="H156" s="53" t="s">
        <v>47</v>
      </c>
      <c r="I156" s="53" t="str">
        <f>INDEX(Table2[Kecamatan],MATCH(Table1[[#This Row],[KELURAHAN / DESA]],Table2[Kelurahan],0))</f>
        <v>Ilir Barat I</v>
      </c>
      <c r="J156" s="53" t="str">
        <f>INDEX(Table2[Kabupaten/Kota],MATCH(Table1[[#This Row],[KECAMATAN]],Table2[Kecamatan],0))</f>
        <v>Palembang</v>
      </c>
      <c r="K156" s="86" t="str">
        <f>INDEX(Table2[Provinsi],MATCH(Table1[[#This Row],[KAB./KOTA]],Table2[Kabupaten/Kota],0))</f>
        <v>Sumatera Selatan</v>
      </c>
      <c r="L156" s="44">
        <v>110</v>
      </c>
      <c r="M156" s="53">
        <v>5</v>
      </c>
      <c r="N156" s="53" t="s">
        <v>506</v>
      </c>
      <c r="O156" s="66" t="s">
        <v>213</v>
      </c>
    </row>
    <row r="157" spans="2:15" ht="31" x14ac:dyDescent="0.35">
      <c r="B157" s="84">
        <f>IF(Table1[[#This Row],[TANGGAL]]="","",ROW(N153))</f>
        <v>153</v>
      </c>
      <c r="C157" s="85">
        <v>46045</v>
      </c>
      <c r="D157" s="86" t="s">
        <v>9</v>
      </c>
      <c r="E157" s="52" t="str">
        <f>INDEX(Table5[KATEGORI PROGRAM],MATCH(Table1[[#This Row],[NAMA PROGRAM]],Table5[NAMA PROGRAM],0))</f>
        <v>Pangan</v>
      </c>
      <c r="F157" s="43" t="s">
        <v>546</v>
      </c>
      <c r="G157" s="87" t="s">
        <v>545</v>
      </c>
      <c r="H157" s="53" t="s">
        <v>35</v>
      </c>
      <c r="I157" s="53" t="str">
        <f>INDEX(Table2[Kecamatan],MATCH(Table1[[#This Row],[KELURAHAN / DESA]],Table2[Kelurahan],0))</f>
        <v>Alang-Alang Lebar</v>
      </c>
      <c r="J157" s="53" t="str">
        <f>INDEX(Table2[Kabupaten/Kota],MATCH(Table1[[#This Row],[KECAMATAN]],Table2[Kecamatan],0))</f>
        <v>Palembang</v>
      </c>
      <c r="K157" s="86" t="str">
        <f>INDEX(Table2[Provinsi],MATCH(Table1[[#This Row],[KAB./KOTA]],Table2[Kabupaten/Kota],0))</f>
        <v>Sumatera Selatan</v>
      </c>
      <c r="L157" s="44">
        <v>57</v>
      </c>
      <c r="M157" s="53">
        <v>2</v>
      </c>
      <c r="N157" s="53" t="s">
        <v>506</v>
      </c>
      <c r="O157" s="66" t="s">
        <v>213</v>
      </c>
    </row>
    <row r="158" spans="2:15" ht="29" x14ac:dyDescent="0.35">
      <c r="B158" s="84">
        <f>IF(Table1[[#This Row],[TANGGAL]]="","",ROW(N154))</f>
        <v>154</v>
      </c>
      <c r="C158" s="85">
        <v>46045</v>
      </c>
      <c r="D158" s="86" t="s">
        <v>9</v>
      </c>
      <c r="E158" s="52" t="str">
        <f>INDEX(Table5[KATEGORI PROGRAM],MATCH(Table1[[#This Row],[NAMA PROGRAM]],Table5[NAMA PROGRAM],0))</f>
        <v>Pangan</v>
      </c>
      <c r="F158" s="43" t="s">
        <v>372</v>
      </c>
      <c r="G158" s="87" t="s">
        <v>322</v>
      </c>
      <c r="H158" s="53" t="s">
        <v>99</v>
      </c>
      <c r="I158" s="53" t="str">
        <f>INDEX(Table2[Kecamatan],MATCH(Table1[[#This Row],[KELURAHAN / DESA]],Table2[Kelurahan],0))</f>
        <v>Kertapati</v>
      </c>
      <c r="J158" s="53" t="str">
        <f>INDEX(Table2[Kabupaten/Kota],MATCH(Table1[[#This Row],[KECAMATAN]],Table2[Kecamatan],0))</f>
        <v>Palembang</v>
      </c>
      <c r="K158" s="86" t="str">
        <f>INDEX(Table2[Provinsi],MATCH(Table1[[#This Row],[KAB./KOTA]],Table2[Kabupaten/Kota],0))</f>
        <v>Sumatera Selatan</v>
      </c>
      <c r="L158" s="44">
        <v>120</v>
      </c>
      <c r="M158" s="53">
        <v>8</v>
      </c>
      <c r="N158" s="53" t="s">
        <v>377</v>
      </c>
      <c r="O158" s="66" t="s">
        <v>214</v>
      </c>
    </row>
    <row r="159" spans="2:15" ht="31" x14ac:dyDescent="0.35">
      <c r="B159" s="84">
        <f>IF(Table1[[#This Row],[TANGGAL]]="","",ROW(N155))</f>
        <v>155</v>
      </c>
      <c r="C159" s="85">
        <v>46045</v>
      </c>
      <c r="D159" s="86" t="s">
        <v>9</v>
      </c>
      <c r="E159" s="52" t="str">
        <f>INDEX(Table5[KATEGORI PROGRAM],MATCH(Table1[[#This Row],[NAMA PROGRAM]],Table5[NAMA PROGRAM],0))</f>
        <v>Pangan</v>
      </c>
      <c r="F159" s="43" t="s">
        <v>548</v>
      </c>
      <c r="G159" s="87" t="s">
        <v>547</v>
      </c>
      <c r="H159" s="53" t="s">
        <v>54</v>
      </c>
      <c r="I159" s="53" t="str">
        <f>INDEX(Table2[Kecamatan],MATCH(Table1[[#This Row],[KELURAHAN / DESA]],Table2[Kelurahan],0))</f>
        <v>Ilir Barat II</v>
      </c>
      <c r="J159" s="53" t="str">
        <f>INDEX(Table2[Kabupaten/Kota],MATCH(Table1[[#This Row],[KECAMATAN]],Table2[Kecamatan],0))</f>
        <v>Palembang</v>
      </c>
      <c r="K159" s="86" t="str">
        <f>INDEX(Table2[Provinsi],MATCH(Table1[[#This Row],[KAB./KOTA]],Table2[Kabupaten/Kota],0))</f>
        <v>Sumatera Selatan</v>
      </c>
      <c r="L159" s="44">
        <v>43</v>
      </c>
      <c r="M159" s="53">
        <v>2</v>
      </c>
      <c r="N159" s="53" t="s">
        <v>506</v>
      </c>
      <c r="O159" s="66" t="s">
        <v>213</v>
      </c>
    </row>
    <row r="160" spans="2:15" ht="29" x14ac:dyDescent="0.35">
      <c r="B160" s="84">
        <f>IF(Table1[[#This Row],[TANGGAL]]="","",ROW(N156))</f>
        <v>156</v>
      </c>
      <c r="C160" s="85">
        <v>46045</v>
      </c>
      <c r="D160" s="86" t="s">
        <v>9</v>
      </c>
      <c r="E160" s="52" t="str">
        <f>INDEX(Table5[KATEGORI PROGRAM],MATCH(Table1[[#This Row],[NAMA PROGRAM]],Table5[NAMA PROGRAM],0))</f>
        <v>Pangan</v>
      </c>
      <c r="F160" s="43" t="s">
        <v>390</v>
      </c>
      <c r="G160" s="87" t="s">
        <v>311</v>
      </c>
      <c r="H160" s="53" t="s">
        <v>167</v>
      </c>
      <c r="I160" s="53" t="str">
        <f>INDEX(Table2[Kecamatan],MATCH(Table1[[#This Row],[KELURAHAN / DESA]],Table2[Kelurahan],0))</f>
        <v>Talang Kelapa</v>
      </c>
      <c r="J160" s="53" t="str">
        <f>INDEX(Table2[Kabupaten/Kota],MATCH(Table1[[#This Row],[KECAMATAN]],Table2[Kecamatan],0))</f>
        <v>Banyuasin</v>
      </c>
      <c r="K160" s="86" t="str">
        <f>INDEX(Table2[Provinsi],MATCH(Table1[[#This Row],[KAB./KOTA]],Table2[Kabupaten/Kota],0))</f>
        <v>Sumatera Selatan</v>
      </c>
      <c r="L160" s="44">
        <v>150</v>
      </c>
      <c r="M160" s="53">
        <v>10</v>
      </c>
      <c r="N160" s="53" t="s">
        <v>308</v>
      </c>
      <c r="O160" s="66" t="s">
        <v>213</v>
      </c>
    </row>
    <row r="161" spans="2:15" ht="31" x14ac:dyDescent="0.35">
      <c r="B161" s="84">
        <f>IF(Table1[[#This Row],[TANGGAL]]="","",ROW(N157))</f>
        <v>157</v>
      </c>
      <c r="C161" s="85">
        <v>46045</v>
      </c>
      <c r="D161" s="86" t="s">
        <v>9</v>
      </c>
      <c r="E161" s="52" t="str">
        <f>INDEX(Table5[KATEGORI PROGRAM],MATCH(Table1[[#This Row],[NAMA PROGRAM]],Table5[NAMA PROGRAM],0))</f>
        <v>Pangan</v>
      </c>
      <c r="F161" s="43" t="s">
        <v>535</v>
      </c>
      <c r="G161" s="87" t="s">
        <v>536</v>
      </c>
      <c r="H161" s="53" t="s">
        <v>47</v>
      </c>
      <c r="I161" s="53" t="str">
        <f>INDEX(Table2[Kecamatan],MATCH(Table1[[#This Row],[KELURAHAN / DESA]],Table2[Kelurahan],0))</f>
        <v>Ilir Barat I</v>
      </c>
      <c r="J161" s="53" t="str">
        <f>INDEX(Table2[Kabupaten/Kota],MATCH(Table1[[#This Row],[KECAMATAN]],Table2[Kecamatan],0))</f>
        <v>Palembang</v>
      </c>
      <c r="K161" s="86" t="str">
        <f>INDEX(Table2[Provinsi],MATCH(Table1[[#This Row],[KAB./KOTA]],Table2[Kabupaten/Kota],0))</f>
        <v>Sumatera Selatan</v>
      </c>
      <c r="L161" s="44">
        <v>75</v>
      </c>
      <c r="M161" s="53">
        <v>4</v>
      </c>
      <c r="N161" s="53" t="s">
        <v>506</v>
      </c>
      <c r="O161" s="66" t="s">
        <v>213</v>
      </c>
    </row>
    <row r="162" spans="2:15" ht="31" x14ac:dyDescent="0.35">
      <c r="B162" s="84">
        <f>IF(Table1[[#This Row],[TANGGAL]]="","",ROW(N158))</f>
        <v>158</v>
      </c>
      <c r="C162" s="85">
        <v>46045</v>
      </c>
      <c r="D162" s="86" t="s">
        <v>263</v>
      </c>
      <c r="E162" s="88" t="str">
        <f>INDEX(Table5[KATEGORI PROGRAM],MATCH(Table1[[#This Row],[NAMA PROGRAM]],Table5[NAMA PROGRAM],0))</f>
        <v>Respon Bencana (Pangan)</v>
      </c>
      <c r="F162" s="43" t="s">
        <v>518</v>
      </c>
      <c r="G162" s="87" t="s">
        <v>517</v>
      </c>
      <c r="H162" s="53" t="s">
        <v>316</v>
      </c>
      <c r="I162" s="53" t="str">
        <f>INDEX(Table2[Kecamatan],MATCH(Table1[[#This Row],[KELURAHAN / DESA]],Table2[Kelurahan],0))</f>
        <v>Kejuruan Muda</v>
      </c>
      <c r="J162" s="53" t="str">
        <f>INDEX(Table2[Kabupaten/Kota],MATCH(Table1[[#This Row],[KECAMATAN]],Table2[Kecamatan],0))</f>
        <v>Aceh Tamiang</v>
      </c>
      <c r="K162" s="86" t="str">
        <f>INDEX(Table2[Provinsi],MATCH(Table1[[#This Row],[KAB./KOTA]],Table2[Kabupaten/Kota],0))</f>
        <v>Nangroe Aceh Darussalam</v>
      </c>
      <c r="L162" s="44">
        <v>45</v>
      </c>
      <c r="M162" s="53" t="s">
        <v>519</v>
      </c>
      <c r="N162" s="53" t="s">
        <v>400</v>
      </c>
      <c r="O162" s="66" t="s">
        <v>225</v>
      </c>
    </row>
    <row r="163" spans="2:15" ht="31" x14ac:dyDescent="0.35">
      <c r="B163" s="84">
        <f>IF(Table1[[#This Row],[TANGGAL]]="","",ROW(N159))</f>
        <v>159</v>
      </c>
      <c r="C163" s="85">
        <v>46045</v>
      </c>
      <c r="D163" s="86" t="s">
        <v>459</v>
      </c>
      <c r="E163" s="88" t="str">
        <f>INDEX(Table5[KATEGORI PROGRAM],MATCH(Table1[[#This Row],[NAMA PROGRAM]],Table5[NAMA PROGRAM],0))</f>
        <v>Respon Bencana (Bantuan Air Bersih)</v>
      </c>
      <c r="F163" s="43" t="s">
        <v>577</v>
      </c>
      <c r="G163" s="87" t="s">
        <v>578</v>
      </c>
      <c r="H163" s="53" t="s">
        <v>576</v>
      </c>
      <c r="I163" s="53" t="str">
        <f>INDEX(Table2[Kecamatan],MATCH(Table1[[#This Row],[KELURAHAN / DESA]],Table2[Kelurahan],0))</f>
        <v>Bandar Mulia</v>
      </c>
      <c r="J163" s="53" t="str">
        <f>INDEX(Table2[Kabupaten/Kota],MATCH(Table1[[#This Row],[KECAMATAN]],Table2[Kecamatan],0))</f>
        <v>Aceh Tamiang</v>
      </c>
      <c r="K163" s="86" t="str">
        <f>INDEX(Table2[Provinsi],MATCH(Table1[[#This Row],[KAB./KOTA]],Table2[Kabupaten/Kota],0))</f>
        <v>Nangroe Aceh Darussalam</v>
      </c>
      <c r="L163" s="44">
        <v>400</v>
      </c>
      <c r="M163" s="53" t="s">
        <v>460</v>
      </c>
      <c r="N163" s="53" t="s">
        <v>400</v>
      </c>
      <c r="O163" s="66" t="s">
        <v>225</v>
      </c>
    </row>
    <row r="164" spans="2:15" ht="31" x14ac:dyDescent="0.35">
      <c r="B164" s="84">
        <f>IF(Table1[[#This Row],[TANGGAL]]="","",ROW(N160))</f>
        <v>160</v>
      </c>
      <c r="C164" s="85">
        <v>46045</v>
      </c>
      <c r="D164" s="86" t="s">
        <v>9</v>
      </c>
      <c r="E164" s="52" t="str">
        <f>INDEX(Table5[KATEGORI PROGRAM],MATCH(Table1[[#This Row],[NAMA PROGRAM]],Table5[NAMA PROGRAM],0))</f>
        <v>Pangan</v>
      </c>
      <c r="F164" s="43" t="s">
        <v>544</v>
      </c>
      <c r="G164" s="87" t="s">
        <v>543</v>
      </c>
      <c r="H164" s="53" t="s">
        <v>35</v>
      </c>
      <c r="I164" s="53" t="str">
        <f>INDEX(Table2[Kecamatan],MATCH(Table1[[#This Row],[KELURAHAN / DESA]],Table2[Kelurahan],0))</f>
        <v>Alang-Alang Lebar</v>
      </c>
      <c r="J164" s="53" t="str">
        <f>INDEX(Table2[Kabupaten/Kota],MATCH(Table1[[#This Row],[KECAMATAN]],Table2[Kecamatan],0))</f>
        <v>Palembang</v>
      </c>
      <c r="K164" s="86" t="str">
        <f>INDEX(Table2[Provinsi],MATCH(Table1[[#This Row],[KAB./KOTA]],Table2[Kabupaten/Kota],0))</f>
        <v>Sumatera Selatan</v>
      </c>
      <c r="L164" s="44">
        <v>43</v>
      </c>
      <c r="M164" s="53">
        <v>2</v>
      </c>
      <c r="N164" s="53" t="s">
        <v>506</v>
      </c>
      <c r="O164" s="66" t="s">
        <v>213</v>
      </c>
    </row>
    <row r="165" spans="2:15" ht="29" x14ac:dyDescent="0.35">
      <c r="B165" s="84">
        <f>IF(Table1[[#This Row],[TANGGAL]]="","",ROW(N161))</f>
        <v>161</v>
      </c>
      <c r="C165" s="85">
        <v>46045</v>
      </c>
      <c r="D165" s="86" t="s">
        <v>6</v>
      </c>
      <c r="E165" s="52" t="str">
        <f>INDEX(Table5[KATEGORI PROGRAM],MATCH(Table1[[#This Row],[NAMA PROGRAM]],Table5[NAMA PROGRAM],0))</f>
        <v>Pendidikan</v>
      </c>
      <c r="F165" s="43" t="s">
        <v>384</v>
      </c>
      <c r="G165" s="87" t="s">
        <v>247</v>
      </c>
      <c r="H165" s="53" t="s">
        <v>96</v>
      </c>
      <c r="I165" s="53" t="str">
        <f>INDEX(Table2[Kecamatan],MATCH(Table1[[#This Row],[KELURAHAN / DESA]],Table2[Kelurahan],0))</f>
        <v>Kertapati</v>
      </c>
      <c r="J165" s="53" t="str">
        <f>INDEX(Table2[Kabupaten/Kota],MATCH(Table1[[#This Row],[KECAMATAN]],Table2[Kecamatan],0))</f>
        <v>Palembang</v>
      </c>
      <c r="K165" s="86" t="str">
        <f>INDEX(Table2[Provinsi],MATCH(Table1[[#This Row],[KAB./KOTA]],Table2[Kabupaten/Kota],0))</f>
        <v>Sumatera Selatan</v>
      </c>
      <c r="L165" s="44">
        <v>65</v>
      </c>
      <c r="M165" s="53">
        <v>7</v>
      </c>
      <c r="N165" s="53" t="s">
        <v>248</v>
      </c>
      <c r="O165" s="66" t="s">
        <v>211</v>
      </c>
    </row>
    <row r="166" spans="2:15" ht="29" x14ac:dyDescent="0.35">
      <c r="B166" s="84">
        <f>IF(Table1[[#This Row],[TANGGAL]]="","",ROW(N162))</f>
        <v>162</v>
      </c>
      <c r="C166" s="85">
        <v>46045</v>
      </c>
      <c r="D166" s="86" t="s">
        <v>0</v>
      </c>
      <c r="E166" s="52" t="str">
        <f>INDEX(Table5[KATEGORI PROGRAM],MATCH(Table1[[#This Row],[NAMA PROGRAM]],Table5[NAMA PROGRAM],0))</f>
        <v>Pangan</v>
      </c>
      <c r="F166" s="43" t="s">
        <v>390</v>
      </c>
      <c r="G166" s="87" t="s">
        <v>311</v>
      </c>
      <c r="H166" s="53" t="s">
        <v>167</v>
      </c>
      <c r="I166" s="53" t="str">
        <f>INDEX(Table2[Kecamatan],MATCH(Table1[[#This Row],[KELURAHAN / DESA]],Table2[Kelurahan],0))</f>
        <v>Talang Kelapa</v>
      </c>
      <c r="J166" s="53" t="str">
        <f>INDEX(Table2[Kabupaten/Kota],MATCH(Table1[[#This Row],[KECAMATAN]],Table2[Kecamatan],0))</f>
        <v>Banyuasin</v>
      </c>
      <c r="K166" s="86" t="str">
        <f>INDEX(Table2[Provinsi],MATCH(Table1[[#This Row],[KAB./KOTA]],Table2[Kabupaten/Kota],0))</f>
        <v>Sumatera Selatan</v>
      </c>
      <c r="L166" s="44">
        <v>150</v>
      </c>
      <c r="M166" s="53" t="s">
        <v>307</v>
      </c>
      <c r="N166" s="53" t="s">
        <v>308</v>
      </c>
      <c r="O166" s="66" t="s">
        <v>213</v>
      </c>
    </row>
    <row r="167" spans="2:15" ht="29" x14ac:dyDescent="0.35">
      <c r="B167" s="84">
        <f>IF(Table1[[#This Row],[TANGGAL]]="","",ROW(N163))</f>
        <v>163</v>
      </c>
      <c r="C167" s="85">
        <v>46045</v>
      </c>
      <c r="D167" s="86" t="s">
        <v>0</v>
      </c>
      <c r="E167" s="52" t="str">
        <f>INDEX(Table5[KATEGORI PROGRAM],MATCH(Table1[[#This Row],[NAMA PROGRAM]],Table5[NAMA PROGRAM],0))</f>
        <v>Pangan</v>
      </c>
      <c r="F167" s="43" t="s">
        <v>372</v>
      </c>
      <c r="G167" s="87" t="s">
        <v>322</v>
      </c>
      <c r="H167" s="53" t="s">
        <v>99</v>
      </c>
      <c r="I167" s="53" t="str">
        <f>INDEX(Table2[Kecamatan],MATCH(Table1[[#This Row],[KELURAHAN / DESA]],Table2[Kelurahan],0))</f>
        <v>Kertapati</v>
      </c>
      <c r="J167" s="53" t="str">
        <f>INDEX(Table2[Kabupaten/Kota],MATCH(Table1[[#This Row],[KECAMATAN]],Table2[Kecamatan],0))</f>
        <v>Palembang</v>
      </c>
      <c r="K167" s="86" t="str">
        <f>INDEX(Table2[Provinsi],MATCH(Table1[[#This Row],[KAB./KOTA]],Table2[Kabupaten/Kota],0))</f>
        <v>Sumatera Selatan</v>
      </c>
      <c r="L167" s="44">
        <v>120</v>
      </c>
      <c r="M167" s="53" t="s">
        <v>307</v>
      </c>
      <c r="N167" s="53" t="s">
        <v>377</v>
      </c>
      <c r="O167" s="66" t="s">
        <v>214</v>
      </c>
    </row>
    <row r="168" spans="2:15" ht="29" x14ac:dyDescent="0.35">
      <c r="B168" s="84">
        <f>IF(Table1[[#This Row],[TANGGAL]]="","",ROW(N164))</f>
        <v>164</v>
      </c>
      <c r="C168" s="85">
        <v>46045</v>
      </c>
      <c r="D168" s="86" t="s">
        <v>244</v>
      </c>
      <c r="E168" s="52" t="str">
        <f>INDEX(Table5[KATEGORI PROGRAM],MATCH(Table1[[#This Row],[NAMA PROGRAM]],Table5[NAMA PROGRAM],0))</f>
        <v>Pangan</v>
      </c>
      <c r="F168" s="43" t="s">
        <v>529</v>
      </c>
      <c r="G168" s="87" t="s">
        <v>530</v>
      </c>
      <c r="H168" s="53" t="s">
        <v>47</v>
      </c>
      <c r="I168" s="53" t="str">
        <f>INDEX(Table2[Kecamatan],MATCH(Table1[[#This Row],[KELURAHAN / DESA]],Table2[Kelurahan],0))</f>
        <v>Ilir Barat I</v>
      </c>
      <c r="J168" s="53" t="str">
        <f>INDEX(Table2[Kabupaten/Kota],MATCH(Table1[[#This Row],[KECAMATAN]],Table2[Kecamatan],0))</f>
        <v>Palembang</v>
      </c>
      <c r="K168" s="86" t="str">
        <f>INDEX(Table2[Provinsi],MATCH(Table1[[#This Row],[KAB./KOTA]],Table2[Kabupaten/Kota],0))</f>
        <v>Sumatera Selatan</v>
      </c>
      <c r="L168" s="44">
        <v>98</v>
      </c>
      <c r="M168" s="53" t="s">
        <v>245</v>
      </c>
      <c r="N168" s="53" t="s">
        <v>531</v>
      </c>
      <c r="O168" s="66" t="s">
        <v>217</v>
      </c>
    </row>
    <row r="169" spans="2:15" ht="31" x14ac:dyDescent="0.35">
      <c r="B169" s="84">
        <f>IF(Table1[[#This Row],[TANGGAL]]="","",ROW(N165))</f>
        <v>165</v>
      </c>
      <c r="C169" s="85">
        <v>46046</v>
      </c>
      <c r="D169" s="86" t="s">
        <v>9</v>
      </c>
      <c r="E169" s="52" t="str">
        <f>INDEX(Table5[KATEGORI PROGRAM],MATCH(Table1[[#This Row],[NAMA PROGRAM]],Table5[NAMA PROGRAM],0))</f>
        <v>Pangan</v>
      </c>
      <c r="F169" s="43" t="s">
        <v>529</v>
      </c>
      <c r="G169" s="87" t="s">
        <v>530</v>
      </c>
      <c r="H169" s="53" t="s">
        <v>47</v>
      </c>
      <c r="I169" s="53" t="str">
        <f>INDEX(Table2[Kecamatan],MATCH(Table1[[#This Row],[KELURAHAN / DESA]],Table2[Kelurahan],0))</f>
        <v>Ilir Barat I</v>
      </c>
      <c r="J169" s="53" t="str">
        <f>INDEX(Table2[Kabupaten/Kota],MATCH(Table1[[#This Row],[KECAMATAN]],Table2[Kecamatan],0))</f>
        <v>Palembang</v>
      </c>
      <c r="K169" s="86" t="str">
        <f>INDEX(Table2[Provinsi],MATCH(Table1[[#This Row],[KAB./KOTA]],Table2[Kabupaten/Kota],0))</f>
        <v>Sumatera Selatan</v>
      </c>
      <c r="L169" s="44">
        <v>350</v>
      </c>
      <c r="M169" s="53">
        <v>25</v>
      </c>
      <c r="N169" s="53" t="s">
        <v>386</v>
      </c>
      <c r="O169" s="66" t="s">
        <v>225</v>
      </c>
    </row>
    <row r="170" spans="2:15" ht="29" x14ac:dyDescent="0.35">
      <c r="B170" s="84">
        <f>IF(Table1[[#This Row],[TANGGAL]]="","",ROW(N166))</f>
        <v>166</v>
      </c>
      <c r="C170" s="85">
        <v>46046</v>
      </c>
      <c r="D170" s="86" t="s">
        <v>9</v>
      </c>
      <c r="E170" s="52" t="str">
        <f>INDEX(Table5[KATEGORI PROGRAM],MATCH(Table1[[#This Row],[NAMA PROGRAM]],Table5[NAMA PROGRAM],0))</f>
        <v>Pangan</v>
      </c>
      <c r="F170" s="43" t="s">
        <v>369</v>
      </c>
      <c r="G170" s="87" t="s">
        <v>370</v>
      </c>
      <c r="H170" s="53" t="s">
        <v>40</v>
      </c>
      <c r="I170" s="53" t="str">
        <f>INDEX(Table2[Kecamatan],MATCH(Table1[[#This Row],[KELURAHAN / DESA]],Table2[Kelurahan],0))</f>
        <v>Bukit Kecil</v>
      </c>
      <c r="J170" s="53" t="str">
        <f>INDEX(Table2[Kabupaten/Kota],MATCH(Table1[[#This Row],[KECAMATAN]],Table2[Kecamatan],0))</f>
        <v>Palembang</v>
      </c>
      <c r="K170" s="86" t="str">
        <f>INDEX(Table2[Provinsi],MATCH(Table1[[#This Row],[KAB./KOTA]],Table2[Kabupaten/Kota],0))</f>
        <v>Sumatera Selatan</v>
      </c>
      <c r="L170" s="44">
        <v>100</v>
      </c>
      <c r="M170" s="53">
        <v>15</v>
      </c>
      <c r="N170" s="53" t="s">
        <v>308</v>
      </c>
      <c r="O170" s="66" t="s">
        <v>217</v>
      </c>
    </row>
    <row r="171" spans="2:15" ht="31" x14ac:dyDescent="0.35">
      <c r="B171" s="84">
        <f>IF(Table1[[#This Row],[TANGGAL]]="","",ROW(N167))</f>
        <v>167</v>
      </c>
      <c r="C171" s="85">
        <v>46046</v>
      </c>
      <c r="D171" s="86" t="s">
        <v>153</v>
      </c>
      <c r="E171" s="52" t="str">
        <f>INDEX(Table5[KATEGORI PROGRAM],MATCH(Table1[[#This Row],[NAMA PROGRAM]],Table5[NAMA PROGRAM],0))</f>
        <v>Pangan</v>
      </c>
      <c r="F171" s="43" t="s">
        <v>532</v>
      </c>
      <c r="G171" s="87" t="s">
        <v>533</v>
      </c>
      <c r="H171" s="53" t="s">
        <v>47</v>
      </c>
      <c r="I171" s="53" t="str">
        <f>INDEX(Table2[Kecamatan],MATCH(Table1[[#This Row],[KELURAHAN / DESA]],Table2[Kelurahan],0))</f>
        <v>Ilir Barat I</v>
      </c>
      <c r="J171" s="53" t="str">
        <f>INDEX(Table2[Kabupaten/Kota],MATCH(Table1[[#This Row],[KECAMATAN]],Table2[Kecamatan],0))</f>
        <v>Palembang</v>
      </c>
      <c r="K171" s="86" t="str">
        <f>INDEX(Table2[Provinsi],MATCH(Table1[[#This Row],[KAB./KOTA]],Table2[Kabupaten/Kota],0))</f>
        <v>Sumatera Selatan</v>
      </c>
      <c r="L171" s="44">
        <v>320</v>
      </c>
      <c r="M171" s="53" t="s">
        <v>534</v>
      </c>
      <c r="N171" s="53" t="s">
        <v>386</v>
      </c>
      <c r="O171" s="66" t="s">
        <v>213</v>
      </c>
    </row>
    <row r="172" spans="2:15" ht="31" x14ac:dyDescent="0.35">
      <c r="B172" s="84">
        <f>IF(Table1[[#This Row],[TANGGAL]]="","",ROW(N168))</f>
        <v>168</v>
      </c>
      <c r="C172" s="85">
        <v>46046</v>
      </c>
      <c r="D172" s="86" t="s">
        <v>153</v>
      </c>
      <c r="E172" s="52" t="str">
        <f>INDEX(Table5[KATEGORI PROGRAM],MATCH(Table1[[#This Row],[NAMA PROGRAM]],Table5[NAMA PROGRAM],0))</f>
        <v>Pangan</v>
      </c>
      <c r="F172" s="43" t="s">
        <v>535</v>
      </c>
      <c r="G172" s="87" t="s">
        <v>536</v>
      </c>
      <c r="H172" s="53" t="s">
        <v>47</v>
      </c>
      <c r="I172" s="53" t="str">
        <f>INDEX(Table2[Kecamatan],MATCH(Table1[[#This Row],[KELURAHAN / DESA]],Table2[Kelurahan],0))</f>
        <v>Ilir Barat I</v>
      </c>
      <c r="J172" s="53" t="str">
        <f>INDEX(Table2[Kabupaten/Kota],MATCH(Table1[[#This Row],[KECAMATAN]],Table2[Kecamatan],0))</f>
        <v>Palembang</v>
      </c>
      <c r="K172" s="86" t="str">
        <f>INDEX(Table2[Provinsi],MATCH(Table1[[#This Row],[KAB./KOTA]],Table2[Kabupaten/Kota],0))</f>
        <v>Sumatera Selatan</v>
      </c>
      <c r="L172" s="44">
        <v>320</v>
      </c>
      <c r="M172" s="53" t="s">
        <v>534</v>
      </c>
      <c r="N172" s="53" t="s">
        <v>386</v>
      </c>
      <c r="O172" s="66" t="s">
        <v>213</v>
      </c>
    </row>
    <row r="173" spans="2:15" ht="29" x14ac:dyDescent="0.35">
      <c r="B173" s="84">
        <f>IF(Table1[[#This Row],[TANGGAL]]="","",ROW(N169))</f>
        <v>169</v>
      </c>
      <c r="C173" s="85">
        <v>46046</v>
      </c>
      <c r="D173" s="86" t="s">
        <v>236</v>
      </c>
      <c r="E173" s="52" t="str">
        <f>INDEX(Table5[KATEGORI PROGRAM],MATCH(Table1[[#This Row],[NAMA PROGRAM]],Table5[NAMA PROGRAM],0))</f>
        <v>Pangan</v>
      </c>
      <c r="F173" s="43" t="s">
        <v>369</v>
      </c>
      <c r="G173" s="87" t="s">
        <v>370</v>
      </c>
      <c r="H173" s="53" t="s">
        <v>40</v>
      </c>
      <c r="I173" s="53" t="str">
        <f>INDEX(Table2[Kecamatan],MATCH(Table1[[#This Row],[KELURAHAN / DESA]],Table2[Kelurahan],0))</f>
        <v>Bukit Kecil</v>
      </c>
      <c r="J173" s="53" t="str">
        <f>INDEX(Table2[Kabupaten/Kota],MATCH(Table1[[#This Row],[KECAMATAN]],Table2[Kecamatan],0))</f>
        <v>Palembang</v>
      </c>
      <c r="K173" s="86" t="str">
        <f>INDEX(Table2[Provinsi],MATCH(Table1[[#This Row],[KAB./KOTA]],Table2[Kabupaten/Kota],0))</f>
        <v>Sumatera Selatan</v>
      </c>
      <c r="L173" s="44">
        <v>100</v>
      </c>
      <c r="M173" s="53" t="s">
        <v>307</v>
      </c>
      <c r="N173" s="53" t="s">
        <v>308</v>
      </c>
      <c r="O173" s="66" t="s">
        <v>217</v>
      </c>
    </row>
    <row r="174" spans="2:15" ht="31" x14ac:dyDescent="0.35">
      <c r="B174" s="84">
        <f>IF(Table1[[#This Row],[TANGGAL]]="","",ROW(N170))</f>
        <v>170</v>
      </c>
      <c r="C174" s="85">
        <v>46046</v>
      </c>
      <c r="D174" s="86" t="s">
        <v>580</v>
      </c>
      <c r="E174" s="88" t="str">
        <f>INDEX(Table5[KATEGORI PROGRAM],MATCH(Table1[[#This Row],[NAMA PROGRAM]],Table5[NAMA PROGRAM],0))</f>
        <v>Respon Bencana (Recovery)</v>
      </c>
      <c r="F174" s="43" t="s">
        <v>435</v>
      </c>
      <c r="G174" s="87" t="s">
        <v>581</v>
      </c>
      <c r="H174" s="53" t="s">
        <v>410</v>
      </c>
      <c r="I174" s="53" t="str">
        <f>INDEX(Table2[Kecamatan],MATCH(Table1[[#This Row],[KELURAHAN / DESA]],Table2[Kelurahan],0))</f>
        <v>Rantau</v>
      </c>
      <c r="J174" s="53" t="str">
        <f>INDEX(Table2[Kabupaten/Kota],MATCH(Table1[[#This Row],[KECAMATAN]],Table2[Kecamatan],0))</f>
        <v>Aceh Tamiang</v>
      </c>
      <c r="K174" s="86" t="str">
        <f>INDEX(Table2[Provinsi],MATCH(Table1[[#This Row],[KAB./KOTA]],Table2[Kabupaten/Kota],0))</f>
        <v>Nangroe Aceh Darussalam</v>
      </c>
      <c r="L174" s="44">
        <v>100</v>
      </c>
      <c r="M174" s="53" t="s">
        <v>579</v>
      </c>
      <c r="N174" s="53" t="s">
        <v>400</v>
      </c>
      <c r="O174" s="66" t="s">
        <v>225</v>
      </c>
    </row>
    <row r="175" spans="2:15" ht="29" x14ac:dyDescent="0.35">
      <c r="B175" s="84">
        <f>IF(Table1[[#This Row],[TANGGAL]]="","",ROW(N171))</f>
        <v>171</v>
      </c>
      <c r="C175" s="85">
        <v>46047</v>
      </c>
      <c r="D175" s="86" t="s">
        <v>2</v>
      </c>
      <c r="E175" s="52" t="str">
        <f>INDEX(Table5[KATEGORI PROGRAM],MATCH(Table1[[#This Row],[NAMA PROGRAM]],Table5[NAMA PROGRAM],0))</f>
        <v>Pendidikan</v>
      </c>
      <c r="F175" s="43" t="s">
        <v>470</v>
      </c>
      <c r="G175" s="87" t="s">
        <v>471</v>
      </c>
      <c r="H175" s="53" t="s">
        <v>99</v>
      </c>
      <c r="I175" s="53" t="str">
        <f>INDEX(Table2[Kecamatan],MATCH(Table1[[#This Row],[KELURAHAN / DESA]],Table2[Kelurahan],0))</f>
        <v>Kertapati</v>
      </c>
      <c r="J175" s="53" t="str">
        <f>INDEX(Table2[Kabupaten/Kota],MATCH(Table1[[#This Row],[KECAMATAN]],Table2[Kecamatan],0))</f>
        <v>Palembang</v>
      </c>
      <c r="K175" s="86" t="str">
        <f>INDEX(Table2[Provinsi],MATCH(Table1[[#This Row],[KAB./KOTA]],Table2[Kabupaten/Kota],0))</f>
        <v>Sumatera Selatan</v>
      </c>
      <c r="L175" s="44">
        <v>75</v>
      </c>
      <c r="M175" s="53">
        <v>5</v>
      </c>
      <c r="N175" s="53" t="s">
        <v>472</v>
      </c>
      <c r="O175" s="66" t="s">
        <v>211</v>
      </c>
    </row>
    <row r="176" spans="2:15" ht="29" x14ac:dyDescent="0.35">
      <c r="B176" s="84">
        <f>IF(Table1[[#This Row],[TANGGAL]]="","",ROW(N172))</f>
        <v>172</v>
      </c>
      <c r="C176" s="85">
        <v>46047</v>
      </c>
      <c r="D176" s="86" t="s">
        <v>3</v>
      </c>
      <c r="E176" s="52" t="str">
        <f>INDEX(Table5[KATEGORI PROGRAM],MATCH(Table1[[#This Row],[NAMA PROGRAM]],Table5[NAMA PROGRAM],0))</f>
        <v>Pendidikan</v>
      </c>
      <c r="F176" s="43" t="s">
        <v>373</v>
      </c>
      <c r="G176" s="87" t="s">
        <v>3</v>
      </c>
      <c r="H176" s="53" t="s">
        <v>82</v>
      </c>
      <c r="I176" s="53" t="str">
        <f>INDEX(Table2[Kecamatan],MATCH(Table1[[#This Row],[KELURAHAN / DESA]],Table2[Kelurahan],0))</f>
        <v>Jakabaring</v>
      </c>
      <c r="J176" s="53" t="str">
        <f>INDEX(Table2[Kabupaten/Kota],MATCH(Table1[[#This Row],[KECAMATAN]],Table2[Kecamatan],0))</f>
        <v>Palembang</v>
      </c>
      <c r="K176" s="86" t="str">
        <f>INDEX(Table2[Provinsi],MATCH(Table1[[#This Row],[KAB./KOTA]],Table2[Kabupaten/Kota],0))</f>
        <v>Sumatera Selatan</v>
      </c>
      <c r="L176" s="44">
        <v>39</v>
      </c>
      <c r="M176" s="53">
        <v>3</v>
      </c>
      <c r="N176" s="53" t="s">
        <v>249</v>
      </c>
      <c r="O176" s="66" t="s">
        <v>211</v>
      </c>
    </row>
    <row r="177" spans="2:15" ht="29" x14ac:dyDescent="0.35">
      <c r="B177" s="84">
        <f>IF(Table1[[#This Row],[TANGGAL]]="","",ROW(N173))</f>
        <v>173</v>
      </c>
      <c r="C177" s="85">
        <v>46047</v>
      </c>
      <c r="D177" s="86" t="s">
        <v>7</v>
      </c>
      <c r="E177" s="52" t="str">
        <f>INDEX(Table5[KATEGORI PROGRAM],MATCH(Table1[[#This Row],[NAMA PROGRAM]],Table5[NAMA PROGRAM],0))</f>
        <v>Pendidikan</v>
      </c>
      <c r="F177" s="43" t="s">
        <v>372</v>
      </c>
      <c r="G177" s="87" t="s">
        <v>242</v>
      </c>
      <c r="H177" s="53" t="s">
        <v>99</v>
      </c>
      <c r="I177" s="53" t="str">
        <f>INDEX(Table2[Kecamatan],MATCH(Table1[[#This Row],[KELURAHAN / DESA]],Table2[Kelurahan],0))</f>
        <v>Kertapati</v>
      </c>
      <c r="J177" s="53" t="str">
        <f>INDEX(Table2[Kabupaten/Kota],MATCH(Table1[[#This Row],[KECAMATAN]],Table2[Kecamatan],0))</f>
        <v>Palembang</v>
      </c>
      <c r="K177" s="86" t="str">
        <f>INDEX(Table2[Provinsi],MATCH(Table1[[#This Row],[KAB./KOTA]],Table2[Kabupaten/Kota],0))</f>
        <v>Sumatera Selatan</v>
      </c>
      <c r="L177" s="44">
        <v>77</v>
      </c>
      <c r="M177" s="53">
        <v>5</v>
      </c>
      <c r="N177" s="53" t="s">
        <v>243</v>
      </c>
      <c r="O177" s="66" t="s">
        <v>211</v>
      </c>
    </row>
    <row r="178" spans="2:15" ht="29" x14ac:dyDescent="0.35">
      <c r="B178" s="84">
        <f>IF(Table1[[#This Row],[TANGGAL]]="","",ROW(N174))</f>
        <v>174</v>
      </c>
      <c r="C178" s="85">
        <v>46047</v>
      </c>
      <c r="D178" s="86" t="s">
        <v>6</v>
      </c>
      <c r="E178" s="52" t="str">
        <f>INDEX(Table5[KATEGORI PROGRAM],MATCH(Table1[[#This Row],[NAMA PROGRAM]],Table5[NAMA PROGRAM],0))</f>
        <v>Pendidikan</v>
      </c>
      <c r="F178" s="43" t="s">
        <v>384</v>
      </c>
      <c r="G178" s="87" t="s">
        <v>247</v>
      </c>
      <c r="H178" s="53" t="s">
        <v>96</v>
      </c>
      <c r="I178" s="53" t="str">
        <f>INDEX(Table2[Kecamatan],MATCH(Table1[[#This Row],[KELURAHAN / DESA]],Table2[Kelurahan],0))</f>
        <v>Kertapati</v>
      </c>
      <c r="J178" s="53" t="str">
        <f>INDEX(Table2[Kabupaten/Kota],MATCH(Table1[[#This Row],[KECAMATAN]],Table2[Kecamatan],0))</f>
        <v>Palembang</v>
      </c>
      <c r="K178" s="86" t="str">
        <f>INDEX(Table2[Provinsi],MATCH(Table1[[#This Row],[KAB./KOTA]],Table2[Kabupaten/Kota],0))</f>
        <v>Sumatera Selatan</v>
      </c>
      <c r="L178" s="44">
        <v>90</v>
      </c>
      <c r="M178" s="53">
        <v>6</v>
      </c>
      <c r="N178" s="53" t="s">
        <v>248</v>
      </c>
      <c r="O178" s="66" t="s">
        <v>211</v>
      </c>
    </row>
    <row r="179" spans="2:15" ht="31" x14ac:dyDescent="0.35">
      <c r="B179" s="84">
        <f>IF(Table1[[#This Row],[TANGGAL]]="","",ROW(N175))</f>
        <v>175</v>
      </c>
      <c r="C179" s="85">
        <v>46048</v>
      </c>
      <c r="D179" s="86" t="s">
        <v>9</v>
      </c>
      <c r="E179" s="52" t="str">
        <f>INDEX(Table5[KATEGORI PROGRAM],MATCH(Table1[[#This Row],[NAMA PROGRAM]],Table5[NAMA PROGRAM],0))</f>
        <v>Pangan</v>
      </c>
      <c r="F179" s="43" t="s">
        <v>379</v>
      </c>
      <c r="G179" s="87" t="s">
        <v>380</v>
      </c>
      <c r="H179" s="53" t="s">
        <v>96</v>
      </c>
      <c r="I179" s="53" t="str">
        <f>INDEX(Table2[Kecamatan],MATCH(Table1[[#This Row],[KELURAHAN / DESA]],Table2[Kelurahan],0))</f>
        <v>Kertapati</v>
      </c>
      <c r="J179" s="53" t="str">
        <f>INDEX(Table2[Kabupaten/Kota],MATCH(Table1[[#This Row],[KECAMATAN]],Table2[Kecamatan],0))</f>
        <v>Palembang</v>
      </c>
      <c r="K179" s="86" t="str">
        <f>INDEX(Table2[Provinsi],MATCH(Table1[[#This Row],[KAB./KOTA]],Table2[Kabupaten/Kota],0))</f>
        <v>Sumatera Selatan</v>
      </c>
      <c r="L179" s="44">
        <v>24</v>
      </c>
      <c r="M179" s="53">
        <v>2</v>
      </c>
      <c r="N179" s="53" t="s">
        <v>378</v>
      </c>
      <c r="O179" s="66" t="s">
        <v>211</v>
      </c>
    </row>
    <row r="180" spans="2:15" ht="31" x14ac:dyDescent="0.35">
      <c r="B180" s="84">
        <f>IF(Table1[[#This Row],[TANGGAL]]="","",ROW(N176))</f>
        <v>176</v>
      </c>
      <c r="C180" s="85">
        <v>46048</v>
      </c>
      <c r="D180" s="86" t="s">
        <v>436</v>
      </c>
      <c r="E180" s="88" t="str">
        <f>INDEX(Table5[KATEGORI PROGRAM],MATCH(Table1[[#This Row],[NAMA PROGRAM]],Table5[NAMA PROGRAM],0))</f>
        <v>Respon Bencana (Recovery)</v>
      </c>
      <c r="F180" s="43" t="s">
        <v>435</v>
      </c>
      <c r="G180" s="87" t="s">
        <v>433</v>
      </c>
      <c r="H180" s="53" t="s">
        <v>410</v>
      </c>
      <c r="I180" s="53" t="str">
        <f>INDEX(Table2[Kecamatan],MATCH(Table1[[#This Row],[KELURAHAN / DESA]],Table2[Kelurahan],0))</f>
        <v>Rantau</v>
      </c>
      <c r="J180" s="53" t="str">
        <f>INDEX(Table2[Kabupaten/Kota],MATCH(Table1[[#This Row],[KECAMATAN]],Table2[Kecamatan],0))</f>
        <v>Aceh Tamiang</v>
      </c>
      <c r="K180" s="86" t="str">
        <f>INDEX(Table2[Provinsi],MATCH(Table1[[#This Row],[KAB./KOTA]],Table2[Kabupaten/Kota],0))</f>
        <v>Nangroe Aceh Darussalam</v>
      </c>
      <c r="L180" s="44">
        <v>500</v>
      </c>
      <c r="M180" s="53" t="s">
        <v>505</v>
      </c>
      <c r="N180" s="53" t="s">
        <v>400</v>
      </c>
      <c r="O180" s="66" t="s">
        <v>225</v>
      </c>
    </row>
    <row r="181" spans="2:15" ht="31" x14ac:dyDescent="0.35">
      <c r="B181" s="84">
        <f>IF(Table1[[#This Row],[TANGGAL]]="","",ROW(N177))</f>
        <v>177</v>
      </c>
      <c r="C181" s="85">
        <v>46048</v>
      </c>
      <c r="D181" s="86" t="s">
        <v>569</v>
      </c>
      <c r="E181" s="88" t="str">
        <f>INDEX(Table5[KATEGORI PROGRAM],MATCH(Table1[[#This Row],[NAMA PROGRAM]],Table5[NAMA PROGRAM],0))</f>
        <v>Respon Bencana (Recovery)</v>
      </c>
      <c r="F181" s="43" t="s">
        <v>518</v>
      </c>
      <c r="G181" s="87" t="s">
        <v>517</v>
      </c>
      <c r="H181" s="53" t="s">
        <v>316</v>
      </c>
      <c r="I181" s="53" t="str">
        <f>INDEX(Table2[Kecamatan],MATCH(Table1[[#This Row],[KELURAHAN / DESA]],Table2[Kelurahan],0))</f>
        <v>Kejuruan Muda</v>
      </c>
      <c r="J181" s="53" t="str">
        <f>INDEX(Table2[Kabupaten/Kota],MATCH(Table1[[#This Row],[KECAMATAN]],Table2[Kecamatan],0))</f>
        <v>Aceh Tamiang</v>
      </c>
      <c r="K181" s="86" t="str">
        <f>INDEX(Table2[Provinsi],MATCH(Table1[[#This Row],[KAB./KOTA]],Table2[Kabupaten/Kota],0))</f>
        <v>Nangroe Aceh Darussalam</v>
      </c>
      <c r="L181" s="44">
        <v>45</v>
      </c>
      <c r="M181" s="53" t="s">
        <v>4</v>
      </c>
      <c r="N181" s="53" t="s">
        <v>596</v>
      </c>
      <c r="O181" s="66" t="s">
        <v>225</v>
      </c>
    </row>
    <row r="182" spans="2:15" ht="29" x14ac:dyDescent="0.35">
      <c r="B182" s="84">
        <f>IF(Table1[[#This Row],[TANGGAL]]="","",ROW(N178))</f>
        <v>178</v>
      </c>
      <c r="C182" s="85">
        <v>46048</v>
      </c>
      <c r="D182" s="86" t="s">
        <v>9</v>
      </c>
      <c r="E182" s="52" t="str">
        <f>INDEX(Table5[KATEGORI PROGRAM],MATCH(Table1[[#This Row],[NAMA PROGRAM]],Table5[NAMA PROGRAM],0))</f>
        <v>Pangan</v>
      </c>
      <c r="F182" s="43" t="s">
        <v>372</v>
      </c>
      <c r="G182" s="87" t="s">
        <v>322</v>
      </c>
      <c r="H182" s="53" t="s">
        <v>99</v>
      </c>
      <c r="I182" s="53" t="str">
        <f>INDEX(Table2[Kecamatan],MATCH(Table1[[#This Row],[KELURAHAN / DESA]],Table2[Kelurahan],0))</f>
        <v>Kertapati</v>
      </c>
      <c r="J182" s="53" t="str">
        <f>INDEX(Table2[Kabupaten/Kota],MATCH(Table1[[#This Row],[KECAMATAN]],Table2[Kecamatan],0))</f>
        <v>Palembang</v>
      </c>
      <c r="K182" s="86" t="str">
        <f>INDEX(Table2[Provinsi],MATCH(Table1[[#This Row],[KAB./KOTA]],Table2[Kabupaten/Kota],0))</f>
        <v>Sumatera Selatan</v>
      </c>
      <c r="L182" s="44">
        <v>80</v>
      </c>
      <c r="M182" s="53">
        <v>4</v>
      </c>
      <c r="N182" s="53" t="s">
        <v>377</v>
      </c>
      <c r="O182" s="66" t="s">
        <v>214</v>
      </c>
    </row>
    <row r="183" spans="2:15" ht="31" x14ac:dyDescent="0.35">
      <c r="B183" s="84">
        <f>IF(Table1[[#This Row],[TANGGAL]]="","",ROW(N179))</f>
        <v>179</v>
      </c>
      <c r="C183" s="85">
        <v>46049</v>
      </c>
      <c r="D183" s="86" t="s">
        <v>9</v>
      </c>
      <c r="E183" s="52" t="str">
        <f>INDEX(Table5[KATEGORI PROGRAM],MATCH(Table1[[#This Row],[NAMA PROGRAM]],Table5[NAMA PROGRAM],0))</f>
        <v>Pangan</v>
      </c>
      <c r="F183" s="43" t="s">
        <v>567</v>
      </c>
      <c r="G183" s="87" t="s">
        <v>568</v>
      </c>
      <c r="H183" s="53" t="s">
        <v>35</v>
      </c>
      <c r="I183" s="53" t="str">
        <f>INDEX(Table2[Kecamatan],MATCH(Table1[[#This Row],[KELURAHAN / DESA]],Table2[Kelurahan],0))</f>
        <v>Alang-Alang Lebar</v>
      </c>
      <c r="J183" s="53" t="str">
        <f>INDEX(Table2[Kabupaten/Kota],MATCH(Table1[[#This Row],[KECAMATAN]],Table2[Kecamatan],0))</f>
        <v>Palembang</v>
      </c>
      <c r="K183" s="86" t="str">
        <f>INDEX(Table2[Provinsi],MATCH(Table1[[#This Row],[KAB./KOTA]],Table2[Kabupaten/Kota],0))</f>
        <v>Sumatera Selatan</v>
      </c>
      <c r="L183" s="44">
        <v>40</v>
      </c>
      <c r="M183" s="53">
        <v>15</v>
      </c>
      <c r="N183" s="53" t="s">
        <v>522</v>
      </c>
      <c r="O183" s="66" t="s">
        <v>213</v>
      </c>
    </row>
    <row r="184" spans="2:15" ht="31" x14ac:dyDescent="0.35">
      <c r="B184" s="84">
        <f>IF(Table1[[#This Row],[TANGGAL]]="","",ROW(N180))</f>
        <v>180</v>
      </c>
      <c r="C184" s="85">
        <v>46049</v>
      </c>
      <c r="D184" s="86" t="s">
        <v>569</v>
      </c>
      <c r="E184" s="88" t="str">
        <f>INDEX(Table5[KATEGORI PROGRAM],MATCH(Table1[[#This Row],[NAMA PROGRAM]],Table5[NAMA PROGRAM],0))</f>
        <v>Respon Bencana (Recovery)</v>
      </c>
      <c r="F184" s="43" t="s">
        <v>518</v>
      </c>
      <c r="G184" s="87" t="s">
        <v>517</v>
      </c>
      <c r="H184" s="53" t="s">
        <v>316</v>
      </c>
      <c r="I184" s="53" t="str">
        <f>INDEX(Table2[Kecamatan],MATCH(Table1[[#This Row],[KELURAHAN / DESA]],Table2[Kelurahan],0))</f>
        <v>Kejuruan Muda</v>
      </c>
      <c r="J184" s="53" t="str">
        <f>INDEX(Table2[Kabupaten/Kota],MATCH(Table1[[#This Row],[KECAMATAN]],Table2[Kecamatan],0))</f>
        <v>Aceh Tamiang</v>
      </c>
      <c r="K184" s="86" t="str">
        <f>INDEX(Table2[Provinsi],MATCH(Table1[[#This Row],[KAB./KOTA]],Table2[Kabupaten/Kota],0))</f>
        <v>Nangroe Aceh Darussalam</v>
      </c>
      <c r="L184" s="44">
        <v>52</v>
      </c>
      <c r="M184" s="53" t="s">
        <v>4</v>
      </c>
      <c r="N184" s="53" t="s">
        <v>596</v>
      </c>
      <c r="O184" s="66" t="s">
        <v>225</v>
      </c>
    </row>
    <row r="185" spans="2:15" ht="31" x14ac:dyDescent="0.35">
      <c r="B185" s="84">
        <f>IF(Table1[[#This Row],[TANGGAL]]="","",ROW(N181))</f>
        <v>181</v>
      </c>
      <c r="C185" s="85">
        <v>46049</v>
      </c>
      <c r="D185" s="86" t="s">
        <v>9</v>
      </c>
      <c r="E185" s="52" t="str">
        <f>INDEX(Table5[KATEGORI PROGRAM],MATCH(Table1[[#This Row],[NAMA PROGRAM]],Table5[NAMA PROGRAM],0))</f>
        <v>Pangan</v>
      </c>
      <c r="F185" s="43" t="s">
        <v>565</v>
      </c>
      <c r="G185" s="87" t="s">
        <v>566</v>
      </c>
      <c r="H185" s="53" t="s">
        <v>33</v>
      </c>
      <c r="I185" s="53" t="str">
        <f>INDEX(Table2[Kecamatan],MATCH(Table1[[#This Row],[KELURAHAN / DESA]],Table2[Kelurahan],0))</f>
        <v>Alang-Alang Lebar</v>
      </c>
      <c r="J185" s="53" t="str">
        <f>INDEX(Table2[Kabupaten/Kota],MATCH(Table1[[#This Row],[KECAMATAN]],Table2[Kecamatan],0))</f>
        <v>Palembang</v>
      </c>
      <c r="K185" s="86" t="str">
        <f>INDEX(Table2[Provinsi],MATCH(Table1[[#This Row],[KAB./KOTA]],Table2[Kabupaten/Kota],0))</f>
        <v>Sumatera Selatan</v>
      </c>
      <c r="L185" s="44">
        <v>40</v>
      </c>
      <c r="M185" s="53">
        <v>15</v>
      </c>
      <c r="N185" s="53" t="s">
        <v>522</v>
      </c>
      <c r="O185" s="66" t="s">
        <v>213</v>
      </c>
    </row>
    <row r="186" spans="2:15" ht="31" x14ac:dyDescent="0.35">
      <c r="B186" s="84">
        <f>IF(Table1[[#This Row],[TANGGAL]]="","",ROW(N182))</f>
        <v>182</v>
      </c>
      <c r="C186" s="85">
        <v>46049</v>
      </c>
      <c r="D186" s="86" t="s">
        <v>9</v>
      </c>
      <c r="E186" s="52" t="str">
        <f>INDEX(Table5[KATEGORI PROGRAM],MATCH(Table1[[#This Row],[NAMA PROGRAM]],Table5[NAMA PROGRAM],0))</f>
        <v>Pangan</v>
      </c>
      <c r="F186" s="43" t="s">
        <v>372</v>
      </c>
      <c r="G186" s="87" t="s">
        <v>381</v>
      </c>
      <c r="H186" s="53" t="s">
        <v>99</v>
      </c>
      <c r="I186" s="53" t="str">
        <f>INDEX(Table2[Kecamatan],MATCH(Table1[[#This Row],[KELURAHAN / DESA]],Table2[Kelurahan],0))</f>
        <v>Kertapati</v>
      </c>
      <c r="J186" s="53" t="str">
        <f>INDEX(Table2[Kabupaten/Kota],MATCH(Table1[[#This Row],[KECAMATAN]],Table2[Kecamatan],0))</f>
        <v>Palembang</v>
      </c>
      <c r="K186" s="89" t="str">
        <f>INDEX(Table2[Provinsi],MATCH(Table1[[#This Row],[KAB./KOTA]],Table2[Kabupaten/Kota],0))</f>
        <v>Sumatera Selatan</v>
      </c>
      <c r="L186" s="44">
        <v>40</v>
      </c>
      <c r="M186" s="90">
        <v>3</v>
      </c>
      <c r="N186" s="53" t="s">
        <v>378</v>
      </c>
      <c r="O186" s="66" t="s">
        <v>211</v>
      </c>
    </row>
    <row r="187" spans="2:15" ht="29" x14ac:dyDescent="0.35">
      <c r="B187" s="84">
        <f>IF(Table1[[#This Row],[TANGGAL]]="","",ROW(N183))</f>
        <v>183</v>
      </c>
      <c r="C187" s="85">
        <v>46049</v>
      </c>
      <c r="D187" s="86" t="s">
        <v>9</v>
      </c>
      <c r="E187" s="52" t="str">
        <f>INDEX(Table5[KATEGORI PROGRAM],MATCH(Table1[[#This Row],[NAMA PROGRAM]],Table5[NAMA PROGRAM],0))</f>
        <v>Pangan</v>
      </c>
      <c r="F187" s="43" t="s">
        <v>372</v>
      </c>
      <c r="G187" s="87" t="s">
        <v>322</v>
      </c>
      <c r="H187" s="53" t="s">
        <v>99</v>
      </c>
      <c r="I187" s="53" t="str">
        <f>INDEX(Table2[Kecamatan],MATCH(Table1[[#This Row],[KELURAHAN / DESA]],Table2[Kelurahan],0))</f>
        <v>Kertapati</v>
      </c>
      <c r="J187" s="53" t="str">
        <f>INDEX(Table2[Kabupaten/Kota],MATCH(Table1[[#This Row],[KECAMATAN]],Table2[Kecamatan],0))</f>
        <v>Palembang</v>
      </c>
      <c r="K187" s="89" t="str">
        <f>INDEX(Table2[Provinsi],MATCH(Table1[[#This Row],[KAB./KOTA]],Table2[Kabupaten/Kota],0))</f>
        <v>Sumatera Selatan</v>
      </c>
      <c r="L187" s="44">
        <v>100</v>
      </c>
      <c r="M187" s="90">
        <v>4</v>
      </c>
      <c r="N187" s="53" t="s">
        <v>377</v>
      </c>
      <c r="O187" s="66" t="s">
        <v>214</v>
      </c>
    </row>
    <row r="188" spans="2:15" ht="31" x14ac:dyDescent="0.35">
      <c r="B188" s="84">
        <f>IF(Table1[[#This Row],[TANGGAL]]="","",ROW(N184))</f>
        <v>184</v>
      </c>
      <c r="C188" s="85">
        <v>46049</v>
      </c>
      <c r="D188" s="86" t="s">
        <v>9</v>
      </c>
      <c r="E188" s="52" t="str">
        <f>INDEX(Table5[KATEGORI PROGRAM],MATCH(Table1[[#This Row],[NAMA PROGRAM]],Table5[NAMA PROGRAM],0))</f>
        <v>Pangan</v>
      </c>
      <c r="F188" s="43" t="s">
        <v>562</v>
      </c>
      <c r="G188" s="87" t="s">
        <v>563</v>
      </c>
      <c r="H188" s="53" t="s">
        <v>564</v>
      </c>
      <c r="I188" s="53" t="str">
        <f>INDEX(Table2[Kecamatan],MATCH(Table1[[#This Row],[KELURAHAN / DESA]],Table2[Kelurahan],0))</f>
        <v>Sematang Borang</v>
      </c>
      <c r="J188" s="53" t="str">
        <f>INDEX(Table2[Kabupaten/Kota],MATCH(Table1[[#This Row],[KECAMATAN]],Table2[Kecamatan],0))</f>
        <v>Palembang</v>
      </c>
      <c r="K188" s="89" t="str">
        <f>INDEX(Table2[Provinsi],MATCH(Table1[[#This Row],[KAB./KOTA]],Table2[Kabupaten/Kota],0))</f>
        <v>Sumatera Selatan</v>
      </c>
      <c r="L188" s="44">
        <v>40</v>
      </c>
      <c r="M188" s="90">
        <v>4</v>
      </c>
      <c r="N188" s="53" t="s">
        <v>522</v>
      </c>
      <c r="O188" s="66" t="s">
        <v>213</v>
      </c>
    </row>
    <row r="189" spans="2:15" ht="31" x14ac:dyDescent="0.35">
      <c r="B189" s="84">
        <f>IF(Table1[[#This Row],[TANGGAL]]="","",ROW(N185))</f>
        <v>185</v>
      </c>
      <c r="C189" s="85">
        <v>46049</v>
      </c>
      <c r="D189" s="86" t="s">
        <v>153</v>
      </c>
      <c r="E189" s="52" t="str">
        <f>INDEX(Table5[KATEGORI PROGRAM],MATCH(Table1[[#This Row],[NAMA PROGRAM]],Table5[NAMA PROGRAM],0))</f>
        <v>Pangan</v>
      </c>
      <c r="F189" s="43" t="s">
        <v>554</v>
      </c>
      <c r="G189" s="87" t="s">
        <v>555</v>
      </c>
      <c r="H189" s="53" t="s">
        <v>232</v>
      </c>
      <c r="I189" s="53" t="str">
        <f>INDEX(Table2[Kecamatan],MATCH(Table1[[#This Row],[KELURAHAN / DESA]],Table2[Kelurahan],0))</f>
        <v>Talang Kelapa</v>
      </c>
      <c r="J189" s="53" t="str">
        <f>INDEX(Table2[Kabupaten/Kota],MATCH(Table1[[#This Row],[KECAMATAN]],Table2[Kecamatan],0))</f>
        <v>Banyuasin</v>
      </c>
      <c r="K189" s="89" t="str">
        <f>INDEX(Table2[Provinsi],MATCH(Table1[[#This Row],[KAB./KOTA]],Table2[Kabupaten/Kota],0))</f>
        <v>Sumatera Selatan</v>
      </c>
      <c r="L189" s="44">
        <v>200</v>
      </c>
      <c r="M189" s="90" t="s">
        <v>556</v>
      </c>
      <c r="N189" s="53" t="s">
        <v>308</v>
      </c>
      <c r="O189" s="66" t="s">
        <v>213</v>
      </c>
    </row>
    <row r="190" spans="2:15" ht="31" x14ac:dyDescent="0.35">
      <c r="B190" s="84">
        <f>IF(Table1[[#This Row],[TANGGAL]]="","",ROW(N186))</f>
        <v>186</v>
      </c>
      <c r="C190" s="85">
        <v>46049</v>
      </c>
      <c r="D190" s="86" t="s">
        <v>153</v>
      </c>
      <c r="E190" s="52" t="str">
        <f>INDEX(Table5[KATEGORI PROGRAM],MATCH(Table1[[#This Row],[NAMA PROGRAM]],Table5[NAMA PROGRAM],0))</f>
        <v>Pangan</v>
      </c>
      <c r="F190" s="43" t="s">
        <v>557</v>
      </c>
      <c r="G190" s="87" t="s">
        <v>558</v>
      </c>
      <c r="H190" s="53" t="s">
        <v>135</v>
      </c>
      <c r="I190" s="53" t="str">
        <f>INDEX(Table2[Kecamatan],MATCH(Table1[[#This Row],[KELURAHAN / DESA]],Table2[Kelurahan],0))</f>
        <v>Sukarami</v>
      </c>
      <c r="J190" s="53" t="str">
        <f>INDEX(Table2[Kabupaten/Kota],MATCH(Table1[[#This Row],[KECAMATAN]],Table2[Kecamatan],0))</f>
        <v>Palembang</v>
      </c>
      <c r="K190" s="89" t="str">
        <f>INDEX(Table2[Provinsi],MATCH(Table1[[#This Row],[KAB./KOTA]],Table2[Kabupaten/Kota],0))</f>
        <v>Sumatera Selatan</v>
      </c>
      <c r="L190" s="44">
        <v>200</v>
      </c>
      <c r="M190" s="90" t="s">
        <v>556</v>
      </c>
      <c r="N190" s="53" t="s">
        <v>308</v>
      </c>
      <c r="O190" s="66" t="s">
        <v>213</v>
      </c>
    </row>
    <row r="191" spans="2:15" ht="31" x14ac:dyDescent="0.35">
      <c r="B191" s="84">
        <f>IF(Table1[[#This Row],[TANGGAL]]="","",ROW(N187))</f>
        <v>187</v>
      </c>
      <c r="C191" s="85">
        <v>46049</v>
      </c>
      <c r="D191" s="86" t="s">
        <v>153</v>
      </c>
      <c r="E191" s="52" t="str">
        <f>INDEX(Table5[KATEGORI PROGRAM],MATCH(Table1[[#This Row],[NAMA PROGRAM]],Table5[NAMA PROGRAM],0))</f>
        <v>Pangan</v>
      </c>
      <c r="F191" s="43" t="s">
        <v>549</v>
      </c>
      <c r="G191" s="87" t="s">
        <v>311</v>
      </c>
      <c r="H191" s="53" t="s">
        <v>167</v>
      </c>
      <c r="I191" s="53" t="str">
        <f>INDEX(Table2[Kecamatan],MATCH(Table1[[#This Row],[KELURAHAN / DESA]],Table2[Kelurahan],0))</f>
        <v>Talang Kelapa</v>
      </c>
      <c r="J191" s="53" t="str">
        <f>INDEX(Table2[Kabupaten/Kota],MATCH(Table1[[#This Row],[KECAMATAN]],Table2[Kecamatan],0))</f>
        <v>Banyuasin</v>
      </c>
      <c r="K191" s="89" t="str">
        <f>INDEX(Table2[Provinsi],MATCH(Table1[[#This Row],[KAB./KOTA]],Table2[Kabupaten/Kota],0))</f>
        <v>Sumatera Selatan</v>
      </c>
      <c r="L191" s="44">
        <v>240</v>
      </c>
      <c r="M191" s="90" t="s">
        <v>550</v>
      </c>
      <c r="N191" s="53" t="s">
        <v>308</v>
      </c>
      <c r="O191" s="66" t="s">
        <v>213</v>
      </c>
    </row>
    <row r="192" spans="2:15" ht="31" x14ac:dyDescent="0.35">
      <c r="B192" s="84">
        <f>IF(Table1[[#This Row],[TANGGAL]]="","",ROW(N188))</f>
        <v>188</v>
      </c>
      <c r="C192" s="85">
        <v>46049</v>
      </c>
      <c r="D192" s="86" t="s">
        <v>153</v>
      </c>
      <c r="E192" s="52" t="str">
        <f>INDEX(Table5[KATEGORI PROGRAM],MATCH(Table1[[#This Row],[NAMA PROGRAM]],Table5[NAMA PROGRAM],0))</f>
        <v>Pangan</v>
      </c>
      <c r="F192" s="43" t="s">
        <v>559</v>
      </c>
      <c r="G192" s="87" t="s">
        <v>560</v>
      </c>
      <c r="H192" s="53" t="s">
        <v>561</v>
      </c>
      <c r="I192" s="53" t="str">
        <f>INDEX(Table2[Kecamatan],MATCH(Table1[[#This Row],[KELURAHAN / DESA]],Table2[Kelurahan],0))</f>
        <v>Sukarami</v>
      </c>
      <c r="J192" s="53" t="str">
        <f>INDEX(Table2[Kabupaten/Kota],MATCH(Table1[[#This Row],[KECAMATAN]],Table2[Kecamatan],0))</f>
        <v>Palembang</v>
      </c>
      <c r="K192" s="89" t="str">
        <f>INDEX(Table2[Provinsi],MATCH(Table1[[#This Row],[KAB./KOTA]],Table2[Kabupaten/Kota],0))</f>
        <v>Sumatera Selatan</v>
      </c>
      <c r="L192" s="44">
        <v>240</v>
      </c>
      <c r="M192" s="90" t="s">
        <v>550</v>
      </c>
      <c r="N192" s="53" t="s">
        <v>308</v>
      </c>
      <c r="O192" s="66" t="s">
        <v>213</v>
      </c>
    </row>
    <row r="193" spans="2:15" ht="31" x14ac:dyDescent="0.35">
      <c r="B193" s="84">
        <f>IF(Table1[[#This Row],[TANGGAL]]="","",ROW(N189))</f>
        <v>189</v>
      </c>
      <c r="C193" s="85">
        <v>46049</v>
      </c>
      <c r="D193" s="86" t="s">
        <v>153</v>
      </c>
      <c r="E193" s="52" t="str">
        <f>INDEX(Table5[KATEGORI PROGRAM],MATCH(Table1[[#This Row],[NAMA PROGRAM]],Table5[NAMA PROGRAM],0))</f>
        <v>Pangan</v>
      </c>
      <c r="F193" s="43" t="s">
        <v>551</v>
      </c>
      <c r="G193" s="87" t="s">
        <v>552</v>
      </c>
      <c r="H193" s="53" t="s">
        <v>166</v>
      </c>
      <c r="I193" s="53" t="str">
        <f>INDEX(Table2[Kecamatan],MATCH(Table1[[#This Row],[KELURAHAN / DESA]],Table2[Kelurahan],0))</f>
        <v>Talang Kelapa</v>
      </c>
      <c r="J193" s="53" t="str">
        <f>INDEX(Table2[Kabupaten/Kota],MATCH(Table1[[#This Row],[KECAMATAN]],Table2[Kecamatan],0))</f>
        <v>Banyuasin</v>
      </c>
      <c r="K193" s="89" t="str">
        <f>INDEX(Table2[Provinsi],MATCH(Table1[[#This Row],[KAB./KOTA]],Table2[Kabupaten/Kota],0))</f>
        <v>Sumatera Selatan</v>
      </c>
      <c r="L193" s="44">
        <v>240</v>
      </c>
      <c r="M193" s="90" t="s">
        <v>553</v>
      </c>
      <c r="N193" s="53" t="s">
        <v>308</v>
      </c>
      <c r="O193" s="66" t="s">
        <v>213</v>
      </c>
    </row>
    <row r="194" spans="2:15" ht="31" x14ac:dyDescent="0.35">
      <c r="B194" s="84">
        <f>IF(Table1[[#This Row],[TANGGAL]]="","",ROW(N190))</f>
        <v>190</v>
      </c>
      <c r="C194" s="85">
        <v>46049</v>
      </c>
      <c r="D194" s="86" t="s">
        <v>263</v>
      </c>
      <c r="E194" s="88" t="str">
        <f>INDEX(Table5[KATEGORI PROGRAM],MATCH(Table1[[#This Row],[NAMA PROGRAM]],Table5[NAMA PROGRAM],0))</f>
        <v>Respon Bencana (Pangan)</v>
      </c>
      <c r="F194" s="43" t="s">
        <v>518</v>
      </c>
      <c r="G194" s="87" t="s">
        <v>517</v>
      </c>
      <c r="H194" s="53" t="s">
        <v>316</v>
      </c>
      <c r="I194" s="53" t="str">
        <f>INDEX(Table2[Kecamatan],MATCH(Table1[[#This Row],[KELURAHAN / DESA]],Table2[Kelurahan],0))</f>
        <v>Kejuruan Muda</v>
      </c>
      <c r="J194" s="53" t="str">
        <f>INDEX(Table2[Kabupaten/Kota],MATCH(Table1[[#This Row],[KECAMATAN]],Table2[Kecamatan],0))</f>
        <v>Aceh Tamiang</v>
      </c>
      <c r="K194" s="89" t="str">
        <f>INDEX(Table2[Provinsi],MATCH(Table1[[#This Row],[KAB./KOTA]],Table2[Kabupaten/Kota],0))</f>
        <v>Nangroe Aceh Darussalam</v>
      </c>
      <c r="L194" s="44">
        <v>52</v>
      </c>
      <c r="M194" s="90" t="s">
        <v>597</v>
      </c>
      <c r="N194" s="53" t="s">
        <v>596</v>
      </c>
      <c r="O194" s="66" t="s">
        <v>225</v>
      </c>
    </row>
    <row r="195" spans="2:15" ht="31" x14ac:dyDescent="0.35">
      <c r="B195" s="84">
        <f>IF(Table1[[#This Row],[TANGGAL]]="","",ROW(N191))</f>
        <v>191</v>
      </c>
      <c r="C195" s="85">
        <v>46051</v>
      </c>
      <c r="D195" s="86" t="s">
        <v>9</v>
      </c>
      <c r="E195" s="88" t="str">
        <f>INDEX(Table5[KATEGORI PROGRAM],MATCH(Table1[[#This Row],[NAMA PROGRAM]],Table5[NAMA PROGRAM],0))</f>
        <v>Pangan</v>
      </c>
      <c r="F195" s="43" t="s">
        <v>379</v>
      </c>
      <c r="G195" s="87" t="s">
        <v>380</v>
      </c>
      <c r="H195" s="53" t="s">
        <v>96</v>
      </c>
      <c r="I195" s="53" t="str">
        <f>INDEX(Table2[Kecamatan],MATCH(Table1[[#This Row],[KELURAHAN / DESA]],Table2[Kelurahan],0))</f>
        <v>Kertapati</v>
      </c>
      <c r="J195" s="53" t="str">
        <f>INDEX(Table2[Kabupaten/Kota],MATCH(Table1[[#This Row],[KECAMATAN]],Table2[Kecamatan],0))</f>
        <v>Palembang</v>
      </c>
      <c r="K195" s="89" t="str">
        <f>INDEX(Table2[Provinsi],MATCH(Table1[[#This Row],[KAB./KOTA]],Table2[Kabupaten/Kota],0))</f>
        <v>Sumatera Selatan</v>
      </c>
      <c r="L195" s="44">
        <v>24</v>
      </c>
      <c r="M195" s="90">
        <v>2</v>
      </c>
      <c r="N195" s="53" t="s">
        <v>378</v>
      </c>
      <c r="O195" s="66" t="s">
        <v>211</v>
      </c>
    </row>
    <row r="196" spans="2:15" ht="29" x14ac:dyDescent="0.35">
      <c r="B196" s="84">
        <f>IF(Table1[[#This Row],[TANGGAL]]="","",ROW(N192))</f>
        <v>192</v>
      </c>
      <c r="C196" s="85">
        <v>46051</v>
      </c>
      <c r="D196" s="86" t="s">
        <v>2</v>
      </c>
      <c r="E196" s="88" t="str">
        <f>INDEX(Table5[KATEGORI PROGRAM],MATCH(Table1[[#This Row],[NAMA PROGRAM]],Table5[NAMA PROGRAM],0))</f>
        <v>Pendidikan</v>
      </c>
      <c r="F196" s="43" t="s">
        <v>470</v>
      </c>
      <c r="G196" s="87" t="s">
        <v>471</v>
      </c>
      <c r="H196" s="53" t="s">
        <v>99</v>
      </c>
      <c r="I196" s="53" t="str">
        <f>INDEX(Table2[Kecamatan],MATCH(Table1[[#This Row],[KELURAHAN / DESA]],Table2[Kelurahan],0))</f>
        <v>Kertapati</v>
      </c>
      <c r="J196" s="53" t="str">
        <f>INDEX(Table2[Kabupaten/Kota],MATCH(Table1[[#This Row],[KECAMATAN]],Table2[Kecamatan],0))</f>
        <v>Palembang</v>
      </c>
      <c r="K196" s="89" t="str">
        <f>INDEX(Table2[Provinsi],MATCH(Table1[[#This Row],[KAB./KOTA]],Table2[Kabupaten/Kota],0))</f>
        <v>Sumatera Selatan</v>
      </c>
      <c r="L196" s="44">
        <v>30</v>
      </c>
      <c r="M196" s="90">
        <v>3</v>
      </c>
      <c r="N196" s="53" t="s">
        <v>472</v>
      </c>
      <c r="O196" s="66" t="s">
        <v>211</v>
      </c>
    </row>
    <row r="197" spans="2:15" ht="31" x14ac:dyDescent="0.35">
      <c r="B197" s="84">
        <f>IF(Table1[[#This Row],[TANGGAL]]="","",ROW(N193))</f>
        <v>193</v>
      </c>
      <c r="C197" s="85">
        <v>46051</v>
      </c>
      <c r="D197" s="86" t="s">
        <v>569</v>
      </c>
      <c r="E197" s="88" t="str">
        <f>INDEX(Table5[KATEGORI PROGRAM],MATCH(Table1[[#This Row],[NAMA PROGRAM]],Table5[NAMA PROGRAM],0))</f>
        <v>Respon Bencana (Recovery)</v>
      </c>
      <c r="F197" s="43" t="s">
        <v>518</v>
      </c>
      <c r="G197" s="87" t="s">
        <v>517</v>
      </c>
      <c r="H197" s="53" t="s">
        <v>316</v>
      </c>
      <c r="I197" s="53" t="str">
        <f>INDEX(Table2[Kecamatan],MATCH(Table1[[#This Row],[KELURAHAN / DESA]],Table2[Kelurahan],0))</f>
        <v>Kejuruan Muda</v>
      </c>
      <c r="J197" s="53" t="str">
        <f>INDEX(Table2[Kabupaten/Kota],MATCH(Table1[[#This Row],[KECAMATAN]],Table2[Kecamatan],0))</f>
        <v>Aceh Tamiang</v>
      </c>
      <c r="K197" s="89" t="str">
        <f>INDEX(Table2[Provinsi],MATCH(Table1[[#This Row],[KAB./KOTA]],Table2[Kabupaten/Kota],0))</f>
        <v>Nangroe Aceh Darussalam</v>
      </c>
      <c r="L197" s="44">
        <v>55</v>
      </c>
      <c r="M197" s="90" t="s">
        <v>4</v>
      </c>
      <c r="N197" s="53" t="s">
        <v>596</v>
      </c>
      <c r="O197" s="66" t="s">
        <v>225</v>
      </c>
    </row>
    <row r="198" spans="2:15" ht="31" x14ac:dyDescent="0.35">
      <c r="B198" s="84">
        <f>IF(Table1[[#This Row],[TANGGAL]]="","",ROW(N194))</f>
        <v>194</v>
      </c>
      <c r="C198" s="85">
        <v>46051</v>
      </c>
      <c r="D198" s="86" t="s">
        <v>9</v>
      </c>
      <c r="E198" s="88" t="str">
        <f>INDEX(Table5[KATEGORI PROGRAM],MATCH(Table1[[#This Row],[NAMA PROGRAM]],Table5[NAMA PROGRAM],0))</f>
        <v>Pangan</v>
      </c>
      <c r="F198" s="43" t="s">
        <v>372</v>
      </c>
      <c r="G198" s="87" t="s">
        <v>381</v>
      </c>
      <c r="H198" s="53" t="s">
        <v>99</v>
      </c>
      <c r="I198" s="53" t="str">
        <f>INDEX(Table2[Kecamatan],MATCH(Table1[[#This Row],[KELURAHAN / DESA]],Table2[Kelurahan],0))</f>
        <v>Kertapati</v>
      </c>
      <c r="J198" s="53" t="str">
        <f>INDEX(Table2[Kabupaten/Kota],MATCH(Table1[[#This Row],[KECAMATAN]],Table2[Kecamatan],0))</f>
        <v>Palembang</v>
      </c>
      <c r="K198" s="89" t="str">
        <f>INDEX(Table2[Provinsi],MATCH(Table1[[#This Row],[KAB./KOTA]],Table2[Kabupaten/Kota],0))</f>
        <v>Sumatera Selatan</v>
      </c>
      <c r="L198" s="44">
        <v>36</v>
      </c>
      <c r="M198" s="90">
        <v>3</v>
      </c>
      <c r="N198" s="53" t="s">
        <v>378</v>
      </c>
      <c r="O198" s="66" t="s">
        <v>211</v>
      </c>
    </row>
    <row r="199" spans="2:15" ht="31" x14ac:dyDescent="0.35">
      <c r="B199" s="91">
        <f>IF(Table1[[#This Row],[TANGGAL]]="","",ROW(N195))</f>
        <v>195</v>
      </c>
      <c r="C199" s="85">
        <v>46051</v>
      </c>
      <c r="D199" s="86" t="s">
        <v>261</v>
      </c>
      <c r="E199" s="92" t="str">
        <f>INDEX(Table5[KATEGORI PROGRAM],MATCH(Table1[[#This Row],[NAMA PROGRAM]],Table5[NAMA PROGRAM],0))</f>
        <v>Respon Bencana (Psikososial)</v>
      </c>
      <c r="F199" s="43" t="s">
        <v>518</v>
      </c>
      <c r="G199" s="87" t="s">
        <v>517</v>
      </c>
      <c r="H199" s="53" t="s">
        <v>316</v>
      </c>
      <c r="I199" s="93" t="str">
        <f>INDEX(Table2[Kecamatan],MATCH(Table1[[#This Row],[KELURAHAN / DESA]],Table2[Kelurahan],0))</f>
        <v>Kejuruan Muda</v>
      </c>
      <c r="J199" s="93" t="str">
        <f>INDEX(Table2[Kabupaten/Kota],MATCH(Table1[[#This Row],[KECAMATAN]],Table2[Kecamatan],0))</f>
        <v>Aceh Tamiang</v>
      </c>
      <c r="K199" s="94" t="str">
        <f>INDEX(Table2[Provinsi],MATCH(Table1[[#This Row],[KAB./KOTA]],Table2[Kabupaten/Kota],0))</f>
        <v>Nangroe Aceh Darussalam</v>
      </c>
      <c r="L199" s="95">
        <v>52</v>
      </c>
      <c r="M199" s="96" t="s">
        <v>9</v>
      </c>
      <c r="N199" s="93" t="s">
        <v>596</v>
      </c>
      <c r="O199" s="97" t="s">
        <v>225</v>
      </c>
    </row>
    <row r="200" spans="2:15" ht="29" x14ac:dyDescent="0.35">
      <c r="B200" s="84">
        <f>IF(Table1[[#This Row],[TANGGAL]]="","",ROW(N196))</f>
        <v>196</v>
      </c>
      <c r="C200" s="85">
        <v>46051</v>
      </c>
      <c r="D200" s="86" t="s">
        <v>7</v>
      </c>
      <c r="E200" s="88" t="str">
        <f>INDEX(Table5[KATEGORI PROGRAM],MATCH(Table1[[#This Row],[NAMA PROGRAM]],Table5[NAMA PROGRAM],0))</f>
        <v>Pendidikan</v>
      </c>
      <c r="F200" s="43" t="s">
        <v>372</v>
      </c>
      <c r="G200" s="87" t="s">
        <v>242</v>
      </c>
      <c r="H200" s="53" t="s">
        <v>99</v>
      </c>
      <c r="I200" s="53" t="str">
        <f>INDEX(Table2[Kecamatan],MATCH(Table1[[#This Row],[KELURAHAN / DESA]],Table2[Kelurahan],0))</f>
        <v>Kertapati</v>
      </c>
      <c r="J200" s="53" t="str">
        <f>INDEX(Table2[Kabupaten/Kota],MATCH(Table1[[#This Row],[KECAMATAN]],Table2[Kecamatan],0))</f>
        <v>Palembang</v>
      </c>
      <c r="K200" s="89" t="str">
        <f>INDEX(Table2[Provinsi],MATCH(Table1[[#This Row],[KAB./KOTA]],Table2[Kabupaten/Kota],0))</f>
        <v>Sumatera Selatan</v>
      </c>
      <c r="L200" s="44">
        <v>77</v>
      </c>
      <c r="M200" s="90">
        <v>5</v>
      </c>
      <c r="N200" s="93" t="s">
        <v>243</v>
      </c>
      <c r="O200" s="66" t="s">
        <v>211</v>
      </c>
    </row>
    <row r="201" spans="2:15" ht="31" x14ac:dyDescent="0.35">
      <c r="B201" s="84">
        <f>IF(Table1[[#This Row],[TANGGAL]]="","",ROW(N197))</f>
        <v>197</v>
      </c>
      <c r="C201" s="85">
        <v>46052</v>
      </c>
      <c r="D201" s="86" t="s">
        <v>9</v>
      </c>
      <c r="E201" s="88" t="str">
        <f>INDEX(Table5[KATEGORI PROGRAM],MATCH(Table1[[#This Row],[NAMA PROGRAM]],Table5[NAMA PROGRAM],0))</f>
        <v>Pangan</v>
      </c>
      <c r="F201" s="43" t="s">
        <v>379</v>
      </c>
      <c r="G201" s="87" t="s">
        <v>380</v>
      </c>
      <c r="H201" s="53" t="s">
        <v>96</v>
      </c>
      <c r="I201" s="53" t="str">
        <f>INDEX(Table2[Kecamatan],MATCH(Table1[[#This Row],[KELURAHAN / DESA]],Table2[Kelurahan],0))</f>
        <v>Kertapati</v>
      </c>
      <c r="J201" s="53" t="str">
        <f>INDEX(Table2[Kabupaten/Kota],MATCH(Table1[[#This Row],[KECAMATAN]],Table2[Kecamatan],0))</f>
        <v>Palembang</v>
      </c>
      <c r="K201" s="89" t="str">
        <f>INDEX(Table2[Provinsi],MATCH(Table1[[#This Row],[KAB./KOTA]],Table2[Kabupaten/Kota],0))</f>
        <v>Sumatera Selatan</v>
      </c>
      <c r="L201" s="44">
        <v>25</v>
      </c>
      <c r="M201" s="90">
        <v>3</v>
      </c>
      <c r="N201" s="93" t="s">
        <v>378</v>
      </c>
      <c r="O201" s="66" t="s">
        <v>211</v>
      </c>
    </row>
    <row r="202" spans="2:15" ht="29" x14ac:dyDescent="0.35">
      <c r="B202" s="84">
        <f>IF(Table1[[#This Row],[TANGGAL]]="","",ROW(N198))</f>
        <v>198</v>
      </c>
      <c r="C202" s="85">
        <v>46052</v>
      </c>
      <c r="D202" s="86" t="s">
        <v>9</v>
      </c>
      <c r="E202" s="88" t="str">
        <f>INDEX(Table5[KATEGORI PROGRAM],MATCH(Table1[[#This Row],[NAMA PROGRAM]],Table5[NAMA PROGRAM],0))</f>
        <v>Pangan</v>
      </c>
      <c r="F202" s="43" t="s">
        <v>470</v>
      </c>
      <c r="G202" s="87" t="s">
        <v>471</v>
      </c>
      <c r="H202" s="53" t="s">
        <v>99</v>
      </c>
      <c r="I202" s="53" t="str">
        <f>INDEX(Table2[Kecamatan],MATCH(Table1[[#This Row],[KELURAHAN / DESA]],Table2[Kelurahan],0))</f>
        <v>Kertapati</v>
      </c>
      <c r="J202" s="53" t="str">
        <f>INDEX(Table2[Kabupaten/Kota],MATCH(Table1[[#This Row],[KECAMATAN]],Table2[Kecamatan],0))</f>
        <v>Palembang</v>
      </c>
      <c r="K202" s="89" t="str">
        <f>INDEX(Table2[Provinsi],MATCH(Table1[[#This Row],[KAB./KOTA]],Table2[Kabupaten/Kota],0))</f>
        <v>Sumatera Selatan</v>
      </c>
      <c r="L202" s="44">
        <v>110</v>
      </c>
      <c r="M202" s="90">
        <v>6</v>
      </c>
      <c r="N202" s="93" t="s">
        <v>308</v>
      </c>
      <c r="O202" s="66" t="s">
        <v>211</v>
      </c>
    </row>
    <row r="203" spans="2:15" ht="31" x14ac:dyDescent="0.35">
      <c r="B203" s="84">
        <f>IF(Table1[[#This Row],[TANGGAL]]="","",ROW(N199))</f>
        <v>199</v>
      </c>
      <c r="C203" s="85">
        <v>46052</v>
      </c>
      <c r="D203" s="86" t="s">
        <v>569</v>
      </c>
      <c r="E203" s="88" t="str">
        <f>INDEX(Table5[KATEGORI PROGRAM],MATCH(Table1[[#This Row],[NAMA PROGRAM]],Table5[NAMA PROGRAM],0))</f>
        <v>Respon Bencana (Recovery)</v>
      </c>
      <c r="F203" s="43" t="s">
        <v>518</v>
      </c>
      <c r="G203" s="87" t="s">
        <v>517</v>
      </c>
      <c r="H203" s="53" t="s">
        <v>316</v>
      </c>
      <c r="I203" s="53" t="str">
        <f>INDEX(Table2[Kecamatan],MATCH(Table1[[#This Row],[KELURAHAN / DESA]],Table2[Kelurahan],0))</f>
        <v>Kejuruan Muda</v>
      </c>
      <c r="J203" s="53" t="str">
        <f>INDEX(Table2[Kabupaten/Kota],MATCH(Table1[[#This Row],[KECAMATAN]],Table2[Kecamatan],0))</f>
        <v>Aceh Tamiang</v>
      </c>
      <c r="K203" s="89" t="str">
        <f>INDEX(Table2[Provinsi],MATCH(Table1[[#This Row],[KAB./KOTA]],Table2[Kabupaten/Kota],0))</f>
        <v>Nangroe Aceh Darussalam</v>
      </c>
      <c r="L203" s="44">
        <v>55</v>
      </c>
      <c r="M203" s="90" t="s">
        <v>4</v>
      </c>
      <c r="N203" s="93" t="s">
        <v>596</v>
      </c>
      <c r="O203" s="66" t="s">
        <v>225</v>
      </c>
    </row>
    <row r="204" spans="2:15" ht="31" x14ac:dyDescent="0.35">
      <c r="B204" s="91">
        <f>IF(Table1[[#This Row],[TANGGAL]]="","",ROW(N200))</f>
        <v>200</v>
      </c>
      <c r="C204" s="98">
        <v>46052</v>
      </c>
      <c r="D204" s="99" t="s">
        <v>9</v>
      </c>
      <c r="E204" s="92" t="str">
        <f>INDEX(Table5[KATEGORI PROGRAM],MATCH(Table1[[#This Row],[NAMA PROGRAM]],Table5[NAMA PROGRAM],0))</f>
        <v>Pangan</v>
      </c>
      <c r="F204" s="67" t="s">
        <v>372</v>
      </c>
      <c r="G204" s="100" t="s">
        <v>381</v>
      </c>
      <c r="H204" s="93" t="s">
        <v>99</v>
      </c>
      <c r="I204" s="93" t="str">
        <f>INDEX(Table2[Kecamatan],MATCH(Table1[[#This Row],[KELURAHAN / DESA]],Table2[Kelurahan],0))</f>
        <v>Kertapati</v>
      </c>
      <c r="J204" s="93" t="str">
        <f>INDEX(Table2[Kabupaten/Kota],MATCH(Table1[[#This Row],[KECAMATAN]],Table2[Kecamatan],0))</f>
        <v>Palembang</v>
      </c>
      <c r="K204" s="94" t="str">
        <f>INDEX(Table2[Provinsi],MATCH(Table1[[#This Row],[KAB./KOTA]],Table2[Kabupaten/Kota],0))</f>
        <v>Sumatera Selatan</v>
      </c>
      <c r="L204" s="95">
        <v>35</v>
      </c>
      <c r="M204" s="96">
        <v>3</v>
      </c>
      <c r="N204" s="93" t="s">
        <v>378</v>
      </c>
      <c r="O204" s="97" t="s">
        <v>211</v>
      </c>
    </row>
    <row r="205" spans="2:15" ht="29" x14ac:dyDescent="0.35">
      <c r="B205" s="84">
        <f>IF(Table1[[#This Row],[TANGGAL]]="","",ROW(N201))</f>
        <v>201</v>
      </c>
      <c r="C205" s="85">
        <v>46052</v>
      </c>
      <c r="D205" s="86" t="s">
        <v>9</v>
      </c>
      <c r="E205" s="88" t="str">
        <f>INDEX(Table5[KATEGORI PROGRAM],MATCH(Table1[[#This Row],[NAMA PROGRAM]],Table5[NAMA PROGRAM],0))</f>
        <v>Pangan</v>
      </c>
      <c r="F205" s="43" t="s">
        <v>372</v>
      </c>
      <c r="G205" s="87" t="s">
        <v>322</v>
      </c>
      <c r="H205" s="53" t="s">
        <v>99</v>
      </c>
      <c r="I205" s="53" t="str">
        <f>INDEX(Table2[Kecamatan],MATCH(Table1[[#This Row],[KELURAHAN / DESA]],Table2[Kelurahan],0))</f>
        <v>Kertapati</v>
      </c>
      <c r="J205" s="53" t="str">
        <f>INDEX(Table2[Kabupaten/Kota],MATCH(Table1[[#This Row],[KECAMATAN]],Table2[Kecamatan],0))</f>
        <v>Palembang</v>
      </c>
      <c r="K205" s="89" t="str">
        <f>INDEX(Table2[Provinsi],MATCH(Table1[[#This Row],[KAB./KOTA]],Table2[Kabupaten/Kota],0))</f>
        <v>Sumatera Selatan</v>
      </c>
      <c r="L205" s="44">
        <v>120</v>
      </c>
      <c r="M205" s="90">
        <v>7</v>
      </c>
      <c r="N205" s="53" t="s">
        <v>308</v>
      </c>
      <c r="O205" s="66" t="s">
        <v>214</v>
      </c>
    </row>
    <row r="206" spans="2:15" ht="29" x14ac:dyDescent="0.35">
      <c r="B206" s="84">
        <f>IF(Table1[[#This Row],[TANGGAL]]="","",ROW(N202))</f>
        <v>202</v>
      </c>
      <c r="C206" s="85">
        <v>46052</v>
      </c>
      <c r="D206" s="86" t="s">
        <v>9</v>
      </c>
      <c r="E206" s="88" t="str">
        <f>INDEX(Table5[KATEGORI PROGRAM],MATCH(Table1[[#This Row],[NAMA PROGRAM]],Table5[NAMA PROGRAM],0))</f>
        <v>Pangan</v>
      </c>
      <c r="F206" s="43" t="s">
        <v>384</v>
      </c>
      <c r="G206" s="87" t="s">
        <v>247</v>
      </c>
      <c r="H206" s="53" t="s">
        <v>96</v>
      </c>
      <c r="I206" s="53" t="str">
        <f>INDEX(Table2[Kecamatan],MATCH(Table1[[#This Row],[KELURAHAN / DESA]],Table2[Kelurahan],0))</f>
        <v>Kertapati</v>
      </c>
      <c r="J206" s="53" t="str">
        <f>INDEX(Table2[Kabupaten/Kota],MATCH(Table1[[#This Row],[KECAMATAN]],Table2[Kecamatan],0))</f>
        <v>Palembang</v>
      </c>
      <c r="K206" s="89" t="str">
        <f>INDEX(Table2[Provinsi],MATCH(Table1[[#This Row],[KAB./KOTA]],Table2[Kabupaten/Kota],0))</f>
        <v>Sumatera Selatan</v>
      </c>
      <c r="L206" s="44">
        <v>100</v>
      </c>
      <c r="M206" s="90">
        <v>5</v>
      </c>
      <c r="N206" s="53" t="s">
        <v>308</v>
      </c>
      <c r="O206" s="66" t="s">
        <v>215</v>
      </c>
    </row>
    <row r="207" spans="2:15" ht="29" x14ac:dyDescent="0.35">
      <c r="B207" s="84">
        <f>IF(Table1[[#This Row],[TANGGAL]]="","",ROW(N203))</f>
        <v>203</v>
      </c>
      <c r="C207" s="85">
        <v>46052</v>
      </c>
      <c r="D207" s="86" t="s">
        <v>9</v>
      </c>
      <c r="E207" s="88" t="str">
        <f>INDEX(Table5[KATEGORI PROGRAM],MATCH(Table1[[#This Row],[NAMA PROGRAM]],Table5[NAMA PROGRAM],0))</f>
        <v>Pangan</v>
      </c>
      <c r="F207" s="43" t="s">
        <v>584</v>
      </c>
      <c r="G207" s="87" t="s">
        <v>585</v>
      </c>
      <c r="H207" s="53" t="s">
        <v>50</v>
      </c>
      <c r="I207" s="53" t="str">
        <f>INDEX(Table2[Kecamatan],MATCH(Table1[[#This Row],[KELURAHAN / DESA]],Table2[Kelurahan],0))</f>
        <v>Ilir Barat I</v>
      </c>
      <c r="J207" s="53" t="str">
        <f>INDEX(Table2[Kabupaten/Kota],MATCH(Table1[[#This Row],[KECAMATAN]],Table2[Kecamatan],0))</f>
        <v>Palembang</v>
      </c>
      <c r="K207" s="89" t="str">
        <f>INDEX(Table2[Provinsi],MATCH(Table1[[#This Row],[KAB./KOTA]],Table2[Kabupaten/Kota],0))</f>
        <v>Sumatera Selatan</v>
      </c>
      <c r="L207" s="44">
        <v>200</v>
      </c>
      <c r="M207" s="90">
        <v>11</v>
      </c>
      <c r="N207" s="53" t="s">
        <v>586</v>
      </c>
      <c r="O207" s="66" t="s">
        <v>225</v>
      </c>
    </row>
    <row r="208" spans="2:15" ht="29" x14ac:dyDescent="0.35">
      <c r="B208" s="84">
        <f>IF(Table1[[#This Row],[TANGGAL]]="","",ROW(N204))</f>
        <v>204</v>
      </c>
      <c r="C208" s="85">
        <v>46052</v>
      </c>
      <c r="D208" s="86" t="s">
        <v>0</v>
      </c>
      <c r="E208" s="88" t="str">
        <f>INDEX(Table5[KATEGORI PROGRAM],MATCH(Table1[[#This Row],[NAMA PROGRAM]],Table5[NAMA PROGRAM],0))</f>
        <v>Pangan</v>
      </c>
      <c r="F208" s="43" t="s">
        <v>384</v>
      </c>
      <c r="G208" s="87" t="s">
        <v>247</v>
      </c>
      <c r="H208" s="53" t="s">
        <v>96</v>
      </c>
      <c r="I208" s="53" t="str">
        <f>INDEX(Table2[Kecamatan],MATCH(Table1[[#This Row],[KELURAHAN / DESA]],Table2[Kelurahan],0))</f>
        <v>Kertapati</v>
      </c>
      <c r="J208" s="53" t="str">
        <f>INDEX(Table2[Kabupaten/Kota],MATCH(Table1[[#This Row],[KECAMATAN]],Table2[Kecamatan],0))</f>
        <v>Palembang</v>
      </c>
      <c r="K208" s="89" t="str">
        <f>INDEX(Table2[Provinsi],MATCH(Table1[[#This Row],[KAB./KOTA]],Table2[Kabupaten/Kota],0))</f>
        <v>Sumatera Selatan</v>
      </c>
      <c r="L208" s="44">
        <v>100</v>
      </c>
      <c r="M208" s="90" t="s">
        <v>394</v>
      </c>
      <c r="N208" s="53" t="s">
        <v>308</v>
      </c>
      <c r="O208" s="66" t="s">
        <v>215</v>
      </c>
    </row>
    <row r="209" spans="2:15" ht="29" x14ac:dyDescent="0.35">
      <c r="B209" s="84">
        <f>IF(Table1[[#This Row],[TANGGAL]]="","",ROW(N205))</f>
        <v>205</v>
      </c>
      <c r="C209" s="85">
        <v>46052</v>
      </c>
      <c r="D209" s="86" t="s">
        <v>0</v>
      </c>
      <c r="E209" s="88" t="str">
        <f>INDEX(Table5[KATEGORI PROGRAM],MATCH(Table1[[#This Row],[NAMA PROGRAM]],Table5[NAMA PROGRAM],0))</f>
        <v>Pangan</v>
      </c>
      <c r="F209" s="43" t="s">
        <v>470</v>
      </c>
      <c r="G209" s="87" t="s">
        <v>471</v>
      </c>
      <c r="H209" s="53" t="s">
        <v>99</v>
      </c>
      <c r="I209" s="53" t="str">
        <f>INDEX(Table2[Kecamatan],MATCH(Table1[[#This Row],[KELURAHAN / DESA]],Table2[Kelurahan],0))</f>
        <v>Kertapati</v>
      </c>
      <c r="J209" s="53" t="str">
        <f>INDEX(Table2[Kabupaten/Kota],MATCH(Table1[[#This Row],[KECAMATAN]],Table2[Kecamatan],0))</f>
        <v>Palembang</v>
      </c>
      <c r="K209" s="89" t="str">
        <f>INDEX(Table2[Provinsi],MATCH(Table1[[#This Row],[KAB./KOTA]],Table2[Kabupaten/Kota],0))</f>
        <v>Sumatera Selatan</v>
      </c>
      <c r="L209" s="44">
        <v>110</v>
      </c>
      <c r="M209" s="90" t="s">
        <v>394</v>
      </c>
      <c r="N209" s="53" t="s">
        <v>308</v>
      </c>
      <c r="O209" s="66" t="s">
        <v>211</v>
      </c>
    </row>
    <row r="210" spans="2:15" ht="31" x14ac:dyDescent="0.35">
      <c r="B210" s="84">
        <f>IF(Table1[[#This Row],[TANGGAL]]="","",ROW(N206))</f>
        <v>206</v>
      </c>
      <c r="C210" s="85">
        <v>46052</v>
      </c>
      <c r="D210" s="86" t="s">
        <v>0</v>
      </c>
      <c r="E210" s="88" t="str">
        <f>INDEX(Table5[KATEGORI PROGRAM],MATCH(Table1[[#This Row],[NAMA PROGRAM]],Table5[NAMA PROGRAM],0))</f>
        <v>Pangan</v>
      </c>
      <c r="F210" s="43" t="s">
        <v>587</v>
      </c>
      <c r="G210" s="87" t="s">
        <v>588</v>
      </c>
      <c r="H210" s="53" t="s">
        <v>68</v>
      </c>
      <c r="I210" s="53" t="str">
        <f>INDEX(Table2[Kecamatan],MATCH(Table1[[#This Row],[KELURAHAN / DESA]],Table2[Kelurahan],0))</f>
        <v>Ilir Timur I</v>
      </c>
      <c r="J210" s="53" t="str">
        <f>INDEX(Table2[Kabupaten/Kota],MATCH(Table1[[#This Row],[KECAMATAN]],Table2[Kecamatan],0))</f>
        <v>Palembang</v>
      </c>
      <c r="K210" s="89" t="str">
        <f>INDEX(Table2[Provinsi],MATCH(Table1[[#This Row],[KAB./KOTA]],Table2[Kabupaten/Kota],0))</f>
        <v>Sumatera Selatan</v>
      </c>
      <c r="L210" s="44">
        <v>50</v>
      </c>
      <c r="M210" s="90" t="s">
        <v>394</v>
      </c>
      <c r="N210" s="53" t="s">
        <v>589</v>
      </c>
      <c r="O210" s="66" t="s">
        <v>225</v>
      </c>
    </row>
    <row r="211" spans="2:15" ht="29" x14ac:dyDescent="0.35">
      <c r="B211" s="84">
        <f>IF(Table1[[#This Row],[TANGGAL]]="","",ROW(N207))</f>
        <v>207</v>
      </c>
      <c r="C211" s="85">
        <v>46052</v>
      </c>
      <c r="D211" s="86" t="s">
        <v>0</v>
      </c>
      <c r="E211" s="88" t="str">
        <f>INDEX(Table5[KATEGORI PROGRAM],MATCH(Table1[[#This Row],[NAMA PROGRAM]],Table5[NAMA PROGRAM],0))</f>
        <v>Pangan</v>
      </c>
      <c r="F211" s="43" t="s">
        <v>372</v>
      </c>
      <c r="G211" s="87" t="s">
        <v>322</v>
      </c>
      <c r="H211" s="53" t="s">
        <v>99</v>
      </c>
      <c r="I211" s="53" t="str">
        <f>INDEX(Table2[Kecamatan],MATCH(Table1[[#This Row],[KELURAHAN / DESA]],Table2[Kelurahan],0))</f>
        <v>Kertapati</v>
      </c>
      <c r="J211" s="53" t="str">
        <f>INDEX(Table2[Kabupaten/Kota],MATCH(Table1[[#This Row],[KECAMATAN]],Table2[Kecamatan],0))</f>
        <v>Palembang</v>
      </c>
      <c r="K211" s="89" t="str">
        <f>INDEX(Table2[Provinsi],MATCH(Table1[[#This Row],[KAB./KOTA]],Table2[Kabupaten/Kota],0))</f>
        <v>Sumatera Selatan</v>
      </c>
      <c r="L211" s="44">
        <v>120</v>
      </c>
      <c r="M211" s="90" t="s">
        <v>307</v>
      </c>
      <c r="N211" s="53" t="s">
        <v>308</v>
      </c>
      <c r="O211" s="66" t="s">
        <v>214</v>
      </c>
    </row>
    <row r="212" spans="2:15" ht="29" x14ac:dyDescent="0.35">
      <c r="B212" s="84">
        <f>IF(Table1[[#This Row],[TANGGAL]]="","",ROW(N208))</f>
        <v>208</v>
      </c>
      <c r="C212" s="85">
        <v>46052</v>
      </c>
      <c r="D212" s="86" t="s">
        <v>244</v>
      </c>
      <c r="E212" s="88" t="str">
        <f>INDEX(Table5[KATEGORI PROGRAM],MATCH(Table1[[#This Row],[NAMA PROGRAM]],Table5[NAMA PROGRAM],0))</f>
        <v>Pangan</v>
      </c>
      <c r="F212" s="43" t="s">
        <v>582</v>
      </c>
      <c r="G212" s="87" t="s">
        <v>583</v>
      </c>
      <c r="H212" s="53" t="s">
        <v>47</v>
      </c>
      <c r="I212" s="53" t="str">
        <f>INDEX(Table2[Kecamatan],MATCH(Table1[[#This Row],[KELURAHAN / DESA]],Table2[Kelurahan],0))</f>
        <v>Ilir Barat I</v>
      </c>
      <c r="J212" s="53" t="str">
        <f>INDEX(Table2[Kabupaten/Kota],MATCH(Table1[[#This Row],[KECAMATAN]],Table2[Kecamatan],0))</f>
        <v>Palembang</v>
      </c>
      <c r="K212" s="89" t="str">
        <f>INDEX(Table2[Provinsi],MATCH(Table1[[#This Row],[KAB./KOTA]],Table2[Kabupaten/Kota],0))</f>
        <v>Sumatera Selatan</v>
      </c>
      <c r="L212" s="44">
        <v>90</v>
      </c>
      <c r="M212" s="90" t="s">
        <v>245</v>
      </c>
      <c r="N212" s="53" t="s">
        <v>308</v>
      </c>
      <c r="O212" s="66" t="s">
        <v>217</v>
      </c>
    </row>
    <row r="213" spans="2:15" ht="29" x14ac:dyDescent="0.35">
      <c r="B213" s="84">
        <f>IF(Table1[[#This Row],[TANGGAL]]="","",ROW(N209))</f>
        <v>209</v>
      </c>
      <c r="C213" s="85">
        <v>46053</v>
      </c>
      <c r="D213" s="86" t="s">
        <v>2</v>
      </c>
      <c r="E213" s="88" t="str">
        <f>INDEX(Table5[KATEGORI PROGRAM],MATCH(Table1[[#This Row],[NAMA PROGRAM]],Table5[NAMA PROGRAM],0))</f>
        <v>Pendidikan</v>
      </c>
      <c r="F213" s="43" t="s">
        <v>470</v>
      </c>
      <c r="G213" s="87" t="s">
        <v>471</v>
      </c>
      <c r="H213" s="53" t="s">
        <v>99</v>
      </c>
      <c r="I213" s="53" t="str">
        <f>INDEX(Table2[Kecamatan],MATCH(Table1[[#This Row],[KELURAHAN / DESA]],Table2[Kelurahan],0))</f>
        <v>Kertapati</v>
      </c>
      <c r="J213" s="53" t="str">
        <f>INDEX(Table2[Kabupaten/Kota],MATCH(Table1[[#This Row],[KECAMATAN]],Table2[Kecamatan],0))</f>
        <v>Palembang</v>
      </c>
      <c r="K213" s="89" t="str">
        <f>INDEX(Table2[Provinsi],MATCH(Table1[[#This Row],[KAB./KOTA]],Table2[Kabupaten/Kota],0))</f>
        <v>Sumatera Selatan</v>
      </c>
      <c r="L213" s="44">
        <v>60</v>
      </c>
      <c r="M213" s="90">
        <v>5</v>
      </c>
      <c r="N213" s="53" t="s">
        <v>472</v>
      </c>
      <c r="O213" s="66" t="s">
        <v>211</v>
      </c>
    </row>
    <row r="214" spans="2:15" ht="29" x14ac:dyDescent="0.35">
      <c r="B214" s="84">
        <f>IF(Table1[[#This Row],[TANGGAL]]="","",ROW(N210))</f>
        <v>210</v>
      </c>
      <c r="C214" s="85">
        <v>46053</v>
      </c>
      <c r="D214" s="86" t="s">
        <v>9</v>
      </c>
      <c r="E214" s="88" t="str">
        <f>INDEX(Table5[KATEGORI PROGRAM],MATCH(Table1[[#This Row],[NAMA PROGRAM]],Table5[NAMA PROGRAM],0))</f>
        <v>Pangan</v>
      </c>
      <c r="F214" s="43" t="s">
        <v>372</v>
      </c>
      <c r="G214" s="87" t="s">
        <v>242</v>
      </c>
      <c r="H214" s="53" t="s">
        <v>99</v>
      </c>
      <c r="I214" s="53" t="str">
        <f>INDEX(Table2[Kecamatan],MATCH(Table1[[#This Row],[KELURAHAN / DESA]],Table2[Kelurahan],0))</f>
        <v>Kertapati</v>
      </c>
      <c r="J214" s="53" t="str">
        <f>INDEX(Table2[Kabupaten/Kota],MATCH(Table1[[#This Row],[KECAMATAN]],Table2[Kecamatan],0))</f>
        <v>Palembang</v>
      </c>
      <c r="K214" s="89" t="str">
        <f>INDEX(Table2[Provinsi],MATCH(Table1[[#This Row],[KAB./KOTA]],Table2[Kabupaten/Kota],0))</f>
        <v>Sumatera Selatan</v>
      </c>
      <c r="L214" s="44">
        <v>25</v>
      </c>
      <c r="M214" s="90">
        <v>7</v>
      </c>
      <c r="N214" s="53" t="s">
        <v>590</v>
      </c>
      <c r="O214" s="66" t="s">
        <v>218</v>
      </c>
    </row>
    <row r="215" spans="2:15" ht="31" x14ac:dyDescent="0.35">
      <c r="B215" s="84">
        <f>IF(Table1[[#This Row],[TANGGAL]]="","",ROW(N211))</f>
        <v>211</v>
      </c>
      <c r="C215" s="85">
        <v>46053</v>
      </c>
      <c r="D215" s="86" t="s">
        <v>9</v>
      </c>
      <c r="E215" s="88" t="str">
        <f>INDEX(Table5[KATEGORI PROGRAM],MATCH(Table1[[#This Row],[NAMA PROGRAM]],Table5[NAMA PROGRAM],0))</f>
        <v>Pangan</v>
      </c>
      <c r="F215" s="43" t="s">
        <v>593</v>
      </c>
      <c r="G215" s="87" t="s">
        <v>594</v>
      </c>
      <c r="H215" s="53" t="s">
        <v>49</v>
      </c>
      <c r="I215" s="53" t="str">
        <f>INDEX(Table2[Kecamatan],MATCH(Table1[[#This Row],[KELURAHAN / DESA]],Table2[Kelurahan],0))</f>
        <v>Ilir Barat I</v>
      </c>
      <c r="J215" s="53" t="str">
        <f>INDEX(Table2[Kabupaten/Kota],MATCH(Table1[[#This Row],[KECAMATAN]],Table2[Kecamatan],0))</f>
        <v>Palembang</v>
      </c>
      <c r="K215" s="89" t="str">
        <f>INDEX(Table2[Provinsi],MATCH(Table1[[#This Row],[KAB./KOTA]],Table2[Kabupaten/Kota],0))</f>
        <v>Sumatera Selatan</v>
      </c>
      <c r="L215" s="44">
        <v>200</v>
      </c>
      <c r="M215" s="90">
        <v>10</v>
      </c>
      <c r="N215" s="53" t="s">
        <v>595</v>
      </c>
      <c r="O215" s="66" t="s">
        <v>225</v>
      </c>
    </row>
    <row r="216" spans="2:15" ht="31" x14ac:dyDescent="0.35">
      <c r="B216" s="84">
        <f>IF(Table1[[#This Row],[TANGGAL]]="","",ROW(N212))</f>
        <v>212</v>
      </c>
      <c r="C216" s="85">
        <v>46053</v>
      </c>
      <c r="D216" s="86" t="s">
        <v>9</v>
      </c>
      <c r="E216" s="88" t="str">
        <f>INDEX(Table5[KATEGORI PROGRAM],MATCH(Table1[[#This Row],[NAMA PROGRAM]],Table5[NAMA PROGRAM],0))</f>
        <v>Pangan</v>
      </c>
      <c r="F216" s="43" t="s">
        <v>591</v>
      </c>
      <c r="G216" s="87" t="s">
        <v>592</v>
      </c>
      <c r="H216" s="53" t="s">
        <v>47</v>
      </c>
      <c r="I216" s="53" t="str">
        <f>INDEX(Table2[Kecamatan],MATCH(Table1[[#This Row],[KELURAHAN / DESA]],Table2[Kelurahan],0))</f>
        <v>Ilir Barat I</v>
      </c>
      <c r="J216" s="53" t="str">
        <f>INDEX(Table2[Kabupaten/Kota],MATCH(Table1[[#This Row],[KECAMATAN]],Table2[Kecamatan],0))</f>
        <v>Palembang</v>
      </c>
      <c r="K216" s="89" t="str">
        <f>INDEX(Table2[Provinsi],MATCH(Table1[[#This Row],[KAB./KOTA]],Table2[Kabupaten/Kota],0))</f>
        <v>Sumatera Selatan</v>
      </c>
      <c r="L216" s="44">
        <v>100</v>
      </c>
      <c r="M216" s="90">
        <v>10</v>
      </c>
      <c r="N216" s="53" t="s">
        <v>386</v>
      </c>
      <c r="O216" s="66" t="s">
        <v>225</v>
      </c>
    </row>
    <row r="217" spans="2:15" ht="31" x14ac:dyDescent="0.35">
      <c r="B217" s="84">
        <f>IF(Table1[[#This Row],[TANGGAL]]="","",ROW(N213))</f>
        <v>213</v>
      </c>
      <c r="C217" s="98">
        <v>46053</v>
      </c>
      <c r="D217" s="99" t="s">
        <v>447</v>
      </c>
      <c r="E217" s="92" t="str">
        <f>INDEX(Table5[KATEGORI PROGRAM],MATCH(Table1[[#This Row],[NAMA PROGRAM]],Table5[NAMA PROGRAM],0))</f>
        <v>Respon Bencana (Recovery)</v>
      </c>
      <c r="F217" s="43" t="s">
        <v>599</v>
      </c>
      <c r="G217" s="87" t="s">
        <v>600</v>
      </c>
      <c r="H217" s="53" t="s">
        <v>601</v>
      </c>
      <c r="I217" s="93" t="str">
        <f>INDEX(Table2[Kecamatan],MATCH(Table1[[#This Row],[KELURAHAN / DESA]],Table2[Kelurahan],0))</f>
        <v>Bandar Pusaka</v>
      </c>
      <c r="J217" s="93" t="str">
        <f>INDEX(Table2[Kabupaten/Kota],MATCH(Table1[[#This Row],[KECAMATAN]],Table2[Kecamatan],0))</f>
        <v xml:space="preserve">Aceh Tamiang </v>
      </c>
      <c r="K217" s="94" t="str">
        <f>INDEX(Table2[Provinsi],MATCH(Table1[[#This Row],[KAB./KOTA]],Table2[Kabupaten/Kota],0))</f>
        <v>Nangroe Aceh Darussalam</v>
      </c>
      <c r="L217" s="95">
        <v>85</v>
      </c>
      <c r="M217" s="96" t="s">
        <v>598</v>
      </c>
      <c r="N217" s="93" t="s">
        <v>596</v>
      </c>
      <c r="O217" s="97" t="s">
        <v>225</v>
      </c>
    </row>
  </sheetData>
  <mergeCells count="1">
    <mergeCell ref="B2:N2"/>
  </mergeCells>
  <phoneticPr fontId="6" type="noConversion"/>
  <dataValidations count="3">
    <dataValidation type="list" allowBlank="1" showInputMessage="1" showErrorMessage="1" sqref="D5:D122 D124:D186 D188:D203 D205" xr:uid="{2C56FC60-64E9-42CD-8A91-DF334E5386DF}">
      <formula1>t_nm</formula1>
    </dataValidation>
    <dataValidation type="list" allowBlank="1" showInputMessage="1" showErrorMessage="1" sqref="H5:H217" xr:uid="{CA38EC53-206F-40FD-914E-05959DAF4E92}">
      <formula1>t_kel</formula1>
    </dataValidation>
    <dataValidation type="list" allowBlank="1" showInputMessage="1" showErrorMessage="1" sqref="O5:O217" xr:uid="{3C7D2800-C879-47DB-84BE-AC76A47A38E9}">
      <formula1>T_SPMFIX</formula1>
    </dataValidation>
  </dataValidations>
  <hyperlinks>
    <hyperlink ref="F11" r:id="rId1" xr:uid="{F47D3BF5-573A-4883-BE4B-38D1B60C5B77}"/>
    <hyperlink ref="F30" r:id="rId2" xr:uid="{DC6CBC3D-461A-48A1-9611-F0572F43DC76}"/>
    <hyperlink ref="F29" r:id="rId3" xr:uid="{3404BF46-949A-45F3-91D4-11C6A8F95C1D}"/>
    <hyperlink ref="F10" r:id="rId4" xr:uid="{21B7237C-C3C1-4069-9E31-595FDE7C0142}"/>
    <hyperlink ref="F36" r:id="rId5" xr:uid="{FE9082FD-8FD4-405B-A115-16936F797D08}"/>
    <hyperlink ref="F46" r:id="rId6" xr:uid="{2513A2A8-FA39-468A-A314-5DE31CD78EB9}"/>
    <hyperlink ref="F48" r:id="rId7" xr:uid="{5B04D27B-2549-469A-A380-A0625A517A10}"/>
    <hyperlink ref="F47" r:id="rId8" xr:uid="{319BCC9C-D9AA-4E1A-A5D4-C9392CC53DF5}"/>
    <hyperlink ref="F49" r:id="rId9" xr:uid="{1772C311-52BC-4567-874C-E97951404AA2}"/>
    <hyperlink ref="F59" r:id="rId10" xr:uid="{5733C034-39F3-4328-9E1E-67E367D079F6}"/>
    <hyperlink ref="F60" r:id="rId11" xr:uid="{AB115041-99A3-4059-968F-4EB23EEED8AA}"/>
    <hyperlink ref="F56" r:id="rId12" xr:uid="{656E80F2-A9C3-46D1-AA4E-062668692A76}"/>
    <hyperlink ref="F61" r:id="rId13" xr:uid="{79FBDC88-2D9B-4711-82CA-DA1A8984E547}"/>
    <hyperlink ref="F58" r:id="rId14" xr:uid="{6CBE3DFC-B37B-4F4E-9A35-301DE9CEEB29}"/>
    <hyperlink ref="F65" r:id="rId15" xr:uid="{7EDFAF59-BF5A-44A2-BB51-14EA7E7D5E38}"/>
    <hyperlink ref="F66" r:id="rId16" xr:uid="{D3DB95BF-1ABF-4006-B1C3-DB20CBE61C2D}"/>
    <hyperlink ref="F74" r:id="rId17" xr:uid="{D212B42B-0D8C-4061-B1E9-A9DE1BCFBB2F}"/>
    <hyperlink ref="F69" r:id="rId18" xr:uid="{B1DE3FE1-8DB5-46B1-BC18-D6116C7D26AC}"/>
    <hyperlink ref="F75" r:id="rId19" xr:uid="{5EBB4750-7143-4FF1-8A99-1FD64B335FAD}"/>
    <hyperlink ref="F67" r:id="rId20" xr:uid="{C730B058-9226-4DD2-8F36-47ED8FF2FBC7}"/>
    <hyperlink ref="F73" r:id="rId21" xr:uid="{BE08D42B-53CA-49CE-A778-CD962DDC64C1}"/>
    <hyperlink ref="F68" r:id="rId22" xr:uid="{B97387E5-D891-43D0-AEFE-1AB4251ED957}"/>
    <hyperlink ref="F72" r:id="rId23" xr:uid="{57601AB0-211B-47D2-A84E-5B35CB406B4A}"/>
    <hyperlink ref="F70" r:id="rId24" xr:uid="{C3BEFB6B-6E25-4989-99CF-B702A27104F2}"/>
    <hyperlink ref="F71" r:id="rId25" xr:uid="{FED8945B-097B-4E06-B7A6-3D2BF5AB1A3D}"/>
    <hyperlink ref="F8" r:id="rId26" xr:uid="{2F3C8185-2CAB-4E07-895D-F35D0ED33FB0}"/>
    <hyperlink ref="F6" r:id="rId27" xr:uid="{865E2937-4B3F-43D2-8FFE-28C67D43FA9A}"/>
    <hyperlink ref="F5" r:id="rId28" xr:uid="{5304AC8F-5278-4262-930A-29841F68027E}"/>
    <hyperlink ref="F7" r:id="rId29" xr:uid="{D8C56AE5-5B86-4D03-ADA8-96F06B59E8E1}"/>
    <hyperlink ref="F9" r:id="rId30" xr:uid="{B0A7939A-56FE-4E8B-AE29-77513D4D045E}"/>
    <hyperlink ref="F12" r:id="rId31" xr:uid="{73266EEE-4A29-4B09-851A-FEA2B2F62836}"/>
    <hyperlink ref="F14" r:id="rId32" xr:uid="{88CC81E5-FBB4-4B08-9382-47DEC9D32E6D}"/>
    <hyperlink ref="F17" r:id="rId33" xr:uid="{96DC0432-D5D2-46EE-860F-4356EA3E2ADF}"/>
    <hyperlink ref="F19" r:id="rId34" xr:uid="{080234DE-DB35-429E-9B42-2CAE46C2DBFD}"/>
    <hyperlink ref="F16" r:id="rId35" xr:uid="{FAE92F90-D8C8-4633-913B-5A3E21DD1D34}"/>
    <hyperlink ref="F13" r:id="rId36" xr:uid="{140D034B-56D6-4520-8E18-1B20E80DA96C}"/>
    <hyperlink ref="F15" r:id="rId37" xr:uid="{416DA5B3-5F6C-40CD-B647-CFA7454126FC}"/>
    <hyperlink ref="F18" r:id="rId38" xr:uid="{18E0450E-EE83-4160-A7D0-6D24B19E55A9}"/>
    <hyperlink ref="F28" r:id="rId39" xr:uid="{5EF65779-76DF-4F5F-AAFB-15BFDCC60DB1}"/>
    <hyperlink ref="F21" r:id="rId40" xr:uid="{C13986D6-A417-4CEE-BBEE-4DE3FA459B66}"/>
    <hyperlink ref="F24" r:id="rId41" xr:uid="{0586675D-D967-4E56-B6D8-1B274EF1EF08}"/>
    <hyperlink ref="F26" r:id="rId42" xr:uid="{419B454B-0525-4BFD-A240-3E5E3C77F415}"/>
    <hyperlink ref="F23" r:id="rId43" xr:uid="{129BC3C4-6C17-4112-88A7-3EA229BBCB80}"/>
    <hyperlink ref="F27" r:id="rId44" xr:uid="{5FDA2A9A-79E5-4CA3-A0DF-3760E829E3DA}"/>
    <hyperlink ref="F22" r:id="rId45" xr:uid="{767E629F-0DA6-4489-A310-C0B04B0C704B}"/>
    <hyperlink ref="F25" r:id="rId46" xr:uid="{74FEA165-7A66-4B66-95FE-C0BEAF3A8080}"/>
    <hyperlink ref="F20" r:id="rId47" xr:uid="{DC85C55D-98C2-4753-BBBC-4B8D03004630}"/>
    <hyperlink ref="F38" r:id="rId48" xr:uid="{E6E358D7-9D92-42DA-B1E8-32FD6DB36DED}"/>
    <hyperlink ref="F40" r:id="rId49" xr:uid="{AF8E4E96-991D-4842-9C3A-F4FCFDE23B7E}"/>
    <hyperlink ref="F39" r:id="rId50" xr:uid="{DE52EA88-FFFF-457D-9B81-80BD5521BD32}"/>
    <hyperlink ref="F31" r:id="rId51" xr:uid="{AA9BD5D8-D619-4859-8482-52BB0C6401AC}"/>
    <hyperlink ref="F37" r:id="rId52" xr:uid="{4CA89C29-9644-4F45-961D-88815BFD658A}"/>
    <hyperlink ref="F32" r:id="rId53" xr:uid="{B35502B1-5D2B-405E-9C2A-0A4248D8C0E1}"/>
    <hyperlink ref="F41" r:id="rId54" xr:uid="{560917DB-60A7-48F1-B2C6-D8CE373DDC58}"/>
    <hyperlink ref="F42" r:id="rId55" xr:uid="{506C5F91-516B-406B-9050-BE5C9B1BB44C}"/>
    <hyperlink ref="F43" r:id="rId56" xr:uid="{94AC88D7-298C-401D-B660-A122F665906C}"/>
    <hyperlink ref="F34" r:id="rId57" xr:uid="{33F68C06-19AE-408E-AA8C-F56FA2AC2603}"/>
    <hyperlink ref="F35" r:id="rId58" xr:uid="{5485F269-DC56-4625-B795-0D6903E3C341}"/>
    <hyperlink ref="F33" r:id="rId59" xr:uid="{A6270613-987A-4858-A6C2-6EDC5A7A4436}"/>
    <hyperlink ref="F44" r:id="rId60" xr:uid="{F0BB8790-B7B5-4F50-B9AA-CA8E374EEC64}"/>
    <hyperlink ref="F45" r:id="rId61" xr:uid="{A6B952DA-3704-4CED-A1FC-31742340F669}"/>
    <hyperlink ref="F50" r:id="rId62" xr:uid="{B805E5A3-9ACC-46BD-B4DA-38C426793117}"/>
    <hyperlink ref="F51" r:id="rId63" xr:uid="{275717D0-39FB-4294-B53A-A2DE6CCFF514}"/>
    <hyperlink ref="F57" r:id="rId64" xr:uid="{E7DA4F32-6A5F-4A12-A7E6-34AAA2922E02}"/>
    <hyperlink ref="F78" r:id="rId65" xr:uid="{5B075944-CA1F-4C35-BEC9-6B8BA75B6C4B}"/>
    <hyperlink ref="F76" r:id="rId66" xr:uid="{1BC64758-35EA-42A0-A17B-DA83BE7FA8D7}"/>
    <hyperlink ref="F79" r:id="rId67" xr:uid="{B6CB620C-811F-4594-BF33-622AF13F9213}"/>
    <hyperlink ref="F86" r:id="rId68" xr:uid="{C0D1D3C4-D7C3-4E72-A22F-BFA8BA307A63}"/>
    <hyperlink ref="F91" r:id="rId69" xr:uid="{BB4A6781-5234-45EB-909A-94C126ADADEB}"/>
    <hyperlink ref="F98" r:id="rId70" xr:uid="{2BDF7AB4-C8A8-4784-AECD-507189597AE1}"/>
    <hyperlink ref="F100" r:id="rId71" xr:uid="{9935AFC3-F06E-4D9B-BB6B-61A1FE19E444}"/>
    <hyperlink ref="F101" r:id="rId72" xr:uid="{405B1528-2351-49EA-9D26-BDB76B40099D}"/>
    <hyperlink ref="F93" r:id="rId73" xr:uid="{060E00E4-3CA0-44BE-8AC4-ABD7A7C8DECE}"/>
    <hyperlink ref="F92" r:id="rId74" xr:uid="{C7A9C24E-1570-4DF7-A381-D1D90C782475}"/>
    <hyperlink ref="F105" r:id="rId75" xr:uid="{3D81EBE1-454E-44E5-97F8-A2785EEDCE67}"/>
    <hyperlink ref="F107" r:id="rId76" xr:uid="{7BA8DCAC-C610-4A6F-9C3A-EA8F2D9B5AF0}"/>
    <hyperlink ref="F109" r:id="rId77" xr:uid="{63A52FFB-9C2C-4682-BC0D-CFFA0F45AA04}"/>
    <hyperlink ref="F102" r:id="rId78" xr:uid="{07EE1988-3851-4888-8997-710C1FD62096}"/>
    <hyperlink ref="F108" r:id="rId79" xr:uid="{713C0012-3754-43B6-B6A1-02991C82EF9E}"/>
    <hyperlink ref="F119" r:id="rId80" xr:uid="{357D2598-4C76-4A72-B71C-96D4E22AF831}"/>
    <hyperlink ref="F116" r:id="rId81" xr:uid="{76D636E3-B300-4929-BBBE-68F805A966BF}"/>
    <hyperlink ref="F118" r:id="rId82" xr:uid="{F47378E2-61CC-4527-9E1F-1CD6121A9BFF}"/>
    <hyperlink ref="F117" r:id="rId83" xr:uid="{084D5036-FDCD-4777-B223-39186D898FA0}"/>
    <hyperlink ref="F52" r:id="rId84" xr:uid="{5AD53296-4360-43A1-941B-B5B82A6A0ED2}"/>
    <hyperlink ref="F53" r:id="rId85" xr:uid="{CE6346D8-A5D5-4045-A14E-D0E48D136269}"/>
    <hyperlink ref="F54" r:id="rId86" xr:uid="{53403B17-6134-4635-AD59-3F34F27C1D25}"/>
    <hyperlink ref="F55" r:id="rId87" xr:uid="{1DF34F68-9706-4216-B908-723A8BA6EC94}"/>
    <hyperlink ref="F62" r:id="rId88" xr:uid="{D227C867-366B-4080-A0F3-5D44CE0416D4}"/>
    <hyperlink ref="F63" r:id="rId89" xr:uid="{683D824E-7761-4878-A45C-10DD1071895F}"/>
    <hyperlink ref="F64" r:id="rId90" xr:uid="{2955962B-964A-473F-AB8D-C409618DFEAE}"/>
    <hyperlink ref="F80" r:id="rId91" xr:uid="{E33A99D9-D4CF-48AE-BFC3-5D0F0AA4C9EC}"/>
    <hyperlink ref="F77" r:id="rId92" xr:uid="{660D7DA4-DD77-4232-AC17-0BE7D836D1F4}"/>
    <hyperlink ref="F85" r:id="rId93" xr:uid="{43EB22FD-4F9F-4A7F-965F-EFA4B2F079BE}"/>
    <hyperlink ref="F82" r:id="rId94" xr:uid="{7CD7F828-3495-4E40-9DE8-FBCD20C75A15}"/>
    <hyperlink ref="F83" r:id="rId95" xr:uid="{430FD855-7617-4CF8-8B25-44B5FE6524E1}"/>
    <hyperlink ref="F87" r:id="rId96" xr:uid="{E1C0353D-F276-4518-9858-CFEB4601840C}"/>
    <hyperlink ref="F84" r:id="rId97" xr:uid="{252419E1-5FF1-43DA-BE96-53DFEBAB3610}"/>
    <hyperlink ref="F95" r:id="rId98" xr:uid="{F989F963-CCB2-4213-83A0-DEE5A331E3D1}"/>
    <hyperlink ref="F96" r:id="rId99" xr:uid="{5AE1293F-AE84-48B0-8890-2EEE1571762D}"/>
    <hyperlink ref="F97" r:id="rId100" xr:uid="{EDC43A87-2782-4D2D-8DFE-572AF9E24E19}"/>
    <hyperlink ref="F94" r:id="rId101" xr:uid="{C7A38623-506F-467C-A0B0-D6DC30769204}"/>
    <hyperlink ref="F88" r:id="rId102" xr:uid="{3028BD2C-3EF0-4D75-9BEF-D6B9802EC41F}"/>
    <hyperlink ref="F89" r:id="rId103" xr:uid="{8DC2C83D-D42F-45BD-BFF0-5CFE2B076E3E}"/>
    <hyperlink ref="F90" r:id="rId104" xr:uid="{3E87C981-18AF-455F-97AD-67E5BF4A0EA3}"/>
    <hyperlink ref="F103" r:id="rId105" xr:uid="{EFC90C56-8AD1-4E67-911D-BA51B35A1872}"/>
    <hyperlink ref="F104" r:id="rId106" xr:uid="{1400CC97-7BBB-4DFE-B6E1-5DD81A996610}"/>
    <hyperlink ref="F99" r:id="rId107" xr:uid="{DF2120DE-3A25-4569-B27F-43331D38ACAD}"/>
    <hyperlink ref="F106" r:id="rId108" xr:uid="{4A74705A-0F4D-48A5-9B3E-1E170905896C}"/>
    <hyperlink ref="F111" r:id="rId109" xr:uid="{FA9412DD-DC5F-41A5-AA2A-1C608CDC539A}"/>
    <hyperlink ref="F114" r:id="rId110" xr:uid="{50BDA7ED-AC5B-44E9-BD4C-94EC8B7457D7}"/>
    <hyperlink ref="F120" r:id="rId111" xr:uid="{DCE3D159-F1FE-421E-99FB-2E42B291DAF9}"/>
    <hyperlink ref="F124" r:id="rId112" xr:uid="{578BA5FE-1583-46A7-B7E7-CDE6B92D1B1D}"/>
    <hyperlink ref="F123" r:id="rId113" xr:uid="{1A8407D2-BA9B-431A-B1EF-0107646CCD9F}"/>
    <hyperlink ref="F126" r:id="rId114" xr:uid="{6F7A3F12-E936-4E36-A984-308A85535DCA}"/>
    <hyperlink ref="F125" r:id="rId115" xr:uid="{0FCBB42E-60C9-44E8-A80E-9CC4D8700A8B}"/>
    <hyperlink ref="F127" r:id="rId116" xr:uid="{1B4D8046-8B40-4675-8C9B-C7065E39BEF4}"/>
    <hyperlink ref="F131" r:id="rId117" xr:uid="{307C193C-54B7-4CEB-A0EE-7BF9C3F6D95D}"/>
    <hyperlink ref="F112" r:id="rId118" xr:uid="{59204719-6A43-41E1-911E-3D87CAC853B5}"/>
    <hyperlink ref="F113" r:id="rId119" xr:uid="{556EB208-1084-4E46-A535-3065701EA421}"/>
    <hyperlink ref="F110" r:id="rId120" xr:uid="{7413A1F7-0D54-4D36-AA19-42E92F61B6F4}"/>
    <hyperlink ref="F115" r:id="rId121" xr:uid="{140A2D26-E23B-4F34-AD40-AE0DA316862D}"/>
    <hyperlink ref="F121" r:id="rId122" xr:uid="{6ADA1B35-2AC9-442D-9E95-7DB1BFEEC997}"/>
    <hyperlink ref="F122" r:id="rId123" xr:uid="{BD2E78E1-B1CD-4EE8-9D48-F05660B4EA17}"/>
    <hyperlink ref="F129" r:id="rId124" xr:uid="{FBA9F0D3-B74C-489F-9B1C-DA67718801B0}"/>
    <hyperlink ref="F130" r:id="rId125" xr:uid="{602686DF-2E0F-4BB9-BCD9-07F2CEC423EA}"/>
    <hyperlink ref="F134" r:id="rId126" xr:uid="{40924D1B-A6D7-4199-800F-55CC92976F15}"/>
    <hyperlink ref="F135" r:id="rId127" xr:uid="{1DBB9B2A-03B0-4C05-8C85-BBE4031B4FF9}"/>
    <hyperlink ref="F128" r:id="rId128" xr:uid="{BC4951DA-C334-497C-AA0A-88BF4E4B4711}"/>
    <hyperlink ref="F137" r:id="rId129" xr:uid="{3E900684-CD5C-441E-BA10-203BD3448610}"/>
    <hyperlink ref="F139" r:id="rId130" xr:uid="{4A3AF5AD-5402-46DE-8A91-7DC942B6A553}"/>
    <hyperlink ref="F141" r:id="rId131" xr:uid="{C4CFEB22-F24C-46A1-9B17-20672FC8BF8F}"/>
    <hyperlink ref="F143" r:id="rId132" xr:uid="{97B202CF-5F58-40B9-A74B-66FD51024498}"/>
    <hyperlink ref="F144" r:id="rId133" xr:uid="{FF6E30FB-DE65-457E-B412-DA8A4FA75184}"/>
    <hyperlink ref="F140" r:id="rId134" xr:uid="{8CFE61EB-37CE-4DC6-948A-FC86A192C66F}"/>
    <hyperlink ref="F142" r:id="rId135" xr:uid="{97009B02-5668-4449-876A-A3085D4CCF71}"/>
    <hyperlink ref="F149" r:id="rId136" xr:uid="{E39A188A-D4C0-4245-9013-CBAFFC1170ED}"/>
    <hyperlink ref="F145" r:id="rId137" xr:uid="{F68958E5-8791-4EA9-837C-3EEE2EF50C81}"/>
    <hyperlink ref="F146" r:id="rId138" xr:uid="{C2569BB9-BD5A-44DA-A185-CBA7A73F0C45}"/>
    <hyperlink ref="F152" r:id="rId139" xr:uid="{58804F1C-2A21-4BBB-825B-D775A18770CD}"/>
    <hyperlink ref="F166" r:id="rId140" xr:uid="{6C429F2D-E585-4E55-840D-EAB44569A68B}"/>
    <hyperlink ref="F167" r:id="rId141" xr:uid="{25D3CDC9-786A-4691-887D-83D7259ACB9C}"/>
    <hyperlink ref="F158" r:id="rId142" xr:uid="{E17C5670-91D7-4060-A9A2-CA98FF73D9C2}"/>
    <hyperlink ref="F160" r:id="rId143" xr:uid="{EB8B0F86-FD2F-4247-9A2C-0F3C97AC3A97}"/>
    <hyperlink ref="F165" r:id="rId144" xr:uid="{19E0078C-6B37-41F9-95FB-1B781671716A}"/>
    <hyperlink ref="F173" r:id="rId145" xr:uid="{0975073A-D8C3-486E-B599-8B1748957F95}"/>
    <hyperlink ref="F170" r:id="rId146" xr:uid="{2B4970F3-A899-4BAC-AB66-91DB8FBB7BE7}"/>
    <hyperlink ref="F168" r:id="rId147" xr:uid="{1B13B0E7-91F1-4151-A944-CBEA4ADE2A86}"/>
    <hyperlink ref="F169" r:id="rId148" xr:uid="{4416A664-7EC8-4972-A3CB-98621F7E56B7}"/>
    <hyperlink ref="F171" r:id="rId149" xr:uid="{4FB6E971-2120-452F-A89D-FA3B39777F52}"/>
    <hyperlink ref="F172" r:id="rId150" xr:uid="{B541B5B8-A9E8-4083-9E00-2921B022C44E}"/>
    <hyperlink ref="F151" r:id="rId151" xr:uid="{FF4413EC-5821-4EC1-8469-925D29BF4CB3}"/>
    <hyperlink ref="F154" r:id="rId152" xr:uid="{E2EDCD5E-0285-4C16-87C1-2E43A3DA7D51}"/>
    <hyperlink ref="F153" r:id="rId153" xr:uid="{24FBB080-18AF-4AF6-9341-CA196EBE4A26}"/>
    <hyperlink ref="F161" r:id="rId154" xr:uid="{FE5D90BA-784A-4491-A631-854E0A26E9D3}"/>
    <hyperlink ref="F164" r:id="rId155" xr:uid="{70670403-8C8B-4AD4-A89E-8BB0BEA76B01}"/>
    <hyperlink ref="F157" r:id="rId156" xr:uid="{E34F5C35-6CD2-4FE4-9007-0C45FA9807F6}"/>
    <hyperlink ref="F156" r:id="rId157" xr:uid="{3DE464FC-19E0-402F-97BD-9D97813B4574}"/>
    <hyperlink ref="F159" r:id="rId158" xr:uid="{786DD2E3-654F-4F81-A4CD-0539242B898C}"/>
    <hyperlink ref="F177" r:id="rId159" xr:uid="{E11B402B-E793-4BF7-86FD-DA55CA1AA085}"/>
    <hyperlink ref="F175" r:id="rId160" xr:uid="{3192D41B-0DED-41CA-A142-C2DA17EA7C80}"/>
    <hyperlink ref="F178" r:id="rId161" xr:uid="{A2A90E5C-953A-4F96-9AA8-A992EF78A29F}"/>
    <hyperlink ref="F176" r:id="rId162" xr:uid="{AB1CB7ED-08CD-493B-BF7D-F517A775FB45}"/>
    <hyperlink ref="F182" r:id="rId163" xr:uid="{397B48BB-7BA8-444A-A253-511193509F9C}"/>
    <hyperlink ref="F179" r:id="rId164" xr:uid="{428DFB0D-AAE5-49A8-8A4D-5B62060D13BE}"/>
    <hyperlink ref="F191" r:id="rId165" xr:uid="{D7F0CE64-100D-4285-BA28-0847FD7A5D42}"/>
    <hyperlink ref="F193" r:id="rId166" xr:uid="{A1C8BBB9-05A7-48B9-ADF1-2AE831CDF9CC}"/>
    <hyperlink ref="F189" r:id="rId167" xr:uid="{D050FAFF-9E06-4593-93FA-7170EC855CC6}"/>
    <hyperlink ref="F190" r:id="rId168" xr:uid="{A9CB67FB-DAB6-4174-BB53-DF7254B52092}"/>
    <hyperlink ref="F192" r:id="rId169" xr:uid="{DBA9589E-82EE-4E2A-813E-CD2BD4349686}"/>
    <hyperlink ref="F183" r:id="rId170" xr:uid="{53108340-887D-4180-85DB-1FB093A6C286}"/>
    <hyperlink ref="F187" r:id="rId171" xr:uid="{EFBEE46E-F7D4-46CD-9B11-869147AB1A76}"/>
    <hyperlink ref="F186" r:id="rId172" xr:uid="{99B81574-078F-4AF0-8D0E-AFAEB8AE4BB2}"/>
    <hyperlink ref="F188" r:id="rId173" display="https://maps.app.goo.gl/srn2QykT842UH5Wq7" xr:uid="{DE43D038-B40C-4205-8740-42D9D2F79318}"/>
    <hyperlink ref="F185" r:id="rId174" display="https://maps.app.goo.gl/cyMfxghsWKRjgFHc9" xr:uid="{A6899BDF-7400-42EB-AED1-E58C7BB1040B}"/>
    <hyperlink ref="F133" r:id="rId175" xr:uid="{E0607F79-D965-4F03-BA04-D1A82B95F2A6}"/>
    <hyperlink ref="F132" r:id="rId176" xr:uid="{64A8549B-C3C4-48BC-9484-6C5F6B788068}"/>
    <hyperlink ref="F138" r:id="rId177" xr:uid="{C204C594-E628-46DD-A1F5-F313B8A642F6}"/>
    <hyperlink ref="F136" r:id="rId178" xr:uid="{0F741390-4945-47D6-91B9-DB2601AD9945}"/>
    <hyperlink ref="F148" r:id="rId179" xr:uid="{E5029AAC-A13C-4086-B29F-C00C549D7753}"/>
    <hyperlink ref="F147" r:id="rId180" xr:uid="{8475CB6D-68F0-4ADC-BB36-0ED5B7A00646}"/>
    <hyperlink ref="F150" r:id="rId181" xr:uid="{CF6B81C6-2E27-45A5-8380-195FAEF05B81}"/>
    <hyperlink ref="F162" r:id="rId182" xr:uid="{3FDA683B-F132-401C-8770-FFD5C9F1188B}"/>
    <hyperlink ref="F155" r:id="rId183" xr:uid="{8C781965-A1DA-4D78-9A53-CA7CB908C677}"/>
    <hyperlink ref="F163" r:id="rId184" xr:uid="{E6E60B00-2EB7-4159-9AD5-E54EB6C194A0}"/>
    <hyperlink ref="F174" r:id="rId185" xr:uid="{B27CE257-836D-4704-881A-BF6EC0588231}"/>
    <hyperlink ref="F180" r:id="rId186" xr:uid="{F42D9DAB-04A8-4A72-9863-6950678F0E74}"/>
    <hyperlink ref="F195" r:id="rId187" xr:uid="{1AAE77B0-E6BA-49B7-9057-EB98F19731B3}"/>
    <hyperlink ref="F198" r:id="rId188" xr:uid="{8B2AC794-5BB4-436C-BB9C-E7CB91B311D0}"/>
    <hyperlink ref="F200" r:id="rId189" xr:uid="{3AF6B047-206D-4192-A34C-E561E8A9AFA1}"/>
    <hyperlink ref="F196" r:id="rId190" xr:uid="{2B1FE736-0A4D-4678-AE7B-B7E466EAF39E}"/>
    <hyperlink ref="F201" r:id="rId191" xr:uid="{C27F9B44-5285-443A-8FD9-12F6A8321AE1}"/>
    <hyperlink ref="F204" r:id="rId192" xr:uid="{C5627C51-EE19-47A0-8D64-9A8083F7E887}"/>
    <hyperlink ref="F212" r:id="rId193" xr:uid="{362163C7-7B0C-4753-B8F3-2C6A171F9454}"/>
    <hyperlink ref="F211" r:id="rId194" xr:uid="{54CFD5D7-6DF5-424F-8597-04BA4C27DE91}"/>
    <hyperlink ref="F205" r:id="rId195" xr:uid="{61530D93-D436-4E04-A470-A5BA67618973}"/>
    <hyperlink ref="F208" r:id="rId196" xr:uid="{816B4E08-8C24-43C9-9C4E-D6EF6B3A38FC}"/>
    <hyperlink ref="F206" r:id="rId197" xr:uid="{31EBB857-D754-48C7-BBB1-905CC420BF2C}"/>
    <hyperlink ref="F209" r:id="rId198" xr:uid="{BB614681-9617-490F-BE24-572CFB90C6DE}"/>
    <hyperlink ref="F202" r:id="rId199" xr:uid="{CA811DE7-73BA-4662-99F4-9123275573C1}"/>
    <hyperlink ref="F207" r:id="rId200" xr:uid="{21C06348-2392-44DB-896C-605D1DE35252}"/>
    <hyperlink ref="F210" r:id="rId201" xr:uid="{58B45279-33DE-42CB-9141-3C12D0C11A74}"/>
    <hyperlink ref="F213" r:id="rId202" xr:uid="{A1021141-7A8F-4D67-8842-C2FC055A3E41}"/>
    <hyperlink ref="F214" r:id="rId203" xr:uid="{F2DE9BA4-E130-4DBC-9BB4-9F7C1F5D9FE0}"/>
    <hyperlink ref="F216" r:id="rId204" xr:uid="{9B878FFB-2BB3-400D-914A-5A70803A2767}"/>
    <hyperlink ref="F215" r:id="rId205" xr:uid="{50401CCC-85ED-49D2-AEC3-AC1F8D586384}"/>
    <hyperlink ref="F181" r:id="rId206" xr:uid="{AE753D81-0387-4E2F-A569-9481B80C2B60}"/>
    <hyperlink ref="F194" r:id="rId207" xr:uid="{BFB47374-3D33-4452-8686-6F56292D8B15}"/>
    <hyperlink ref="F184" r:id="rId208" xr:uid="{067B09C4-C1D0-49AB-908D-952D775546D3}"/>
    <hyperlink ref="F199" r:id="rId209" xr:uid="{258BE6D0-4CCA-44E0-9CA2-0E5878A3CC0A}"/>
    <hyperlink ref="F197" r:id="rId210" xr:uid="{E152471F-592E-4170-AF8C-9747E817FB1D}"/>
    <hyperlink ref="F203" r:id="rId211" xr:uid="{129A123D-3945-465F-A6C7-092577E3145F}"/>
    <hyperlink ref="F217" r:id="rId212" xr:uid="{6B144722-F9D0-40D4-A4EB-0FBCF5B58E66}"/>
    <hyperlink ref="F81" r:id="rId213" xr:uid="{99A5DAFE-4746-4C4E-AC77-B8DD01F5F6A6}"/>
  </hyperlinks>
  <pageMargins left="0.7" right="0.7" top="0.75" bottom="0.75" header="0.3" footer="0.3"/>
  <pageSetup paperSize="9" orientation="portrait" horizontalDpi="4294967293" verticalDpi="0" r:id="rId214"/>
  <tableParts count="1">
    <tablePart r:id="rId2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5BF8-5A05-49F4-8917-7CDE7A57FAF1}">
  <dimension ref="B1:K1048508"/>
  <sheetViews>
    <sheetView showGridLines="0" topLeftCell="A8" zoomScale="60" zoomScaleNormal="60" workbookViewId="0">
      <selection activeCell="D51" sqref="D51"/>
    </sheetView>
  </sheetViews>
  <sheetFormatPr defaultRowHeight="14.5" x14ac:dyDescent="0.35"/>
  <cols>
    <col min="2" max="2" width="6.26953125" customWidth="1"/>
    <col min="3" max="3" width="59.54296875" style="6" bestFit="1" customWidth="1"/>
    <col min="4" max="4" width="19.08984375" style="7" customWidth="1"/>
    <col min="5" max="5" width="11.81640625" style="7" customWidth="1"/>
    <col min="6" max="6" width="19.7265625" bestFit="1" customWidth="1"/>
    <col min="7" max="7" width="62.81640625" bestFit="1" customWidth="1"/>
    <col min="8" max="8" width="13.6328125" style="7" customWidth="1"/>
    <col min="9" max="9" width="16" style="7" bestFit="1" customWidth="1"/>
    <col min="10" max="10" width="20.26953125" style="7" customWidth="1"/>
    <col min="11" max="11" width="14.7265625" bestFit="1" customWidth="1"/>
    <col min="12" max="12" width="10.26953125" bestFit="1" customWidth="1"/>
    <col min="13" max="13" width="9.453125" bestFit="1" customWidth="1"/>
    <col min="14" max="14" width="13.54296875" bestFit="1" customWidth="1"/>
    <col min="15" max="15" width="9.453125" bestFit="1" customWidth="1"/>
    <col min="16" max="16" width="49.1796875" bestFit="1" customWidth="1"/>
    <col min="17" max="17" width="76" bestFit="1" customWidth="1"/>
    <col min="18" max="18" width="7.7265625" customWidth="1"/>
  </cols>
  <sheetData>
    <row r="1" spans="2:10" ht="15" thickBot="1" x14ac:dyDescent="0.4"/>
    <row r="2" spans="2:10" ht="19" thickBot="1" x14ac:dyDescent="0.5">
      <c r="B2" s="119" t="s">
        <v>176</v>
      </c>
      <c r="C2" s="120"/>
      <c r="D2" s="120"/>
      <c r="E2" s="121"/>
      <c r="G2" s="119" t="s">
        <v>177</v>
      </c>
      <c r="H2" s="120"/>
      <c r="I2" s="120"/>
      <c r="J2" s="121"/>
    </row>
    <row r="4" spans="2:10" x14ac:dyDescent="0.35">
      <c r="B4" s="40" t="s">
        <v>28</v>
      </c>
      <c r="C4" s="40" t="s">
        <v>178</v>
      </c>
      <c r="D4" s="40" t="s">
        <v>179</v>
      </c>
      <c r="E4" s="41" t="s">
        <v>180</v>
      </c>
      <c r="G4" s="8" t="s">
        <v>181</v>
      </c>
      <c r="H4" s="9" t="s">
        <v>198</v>
      </c>
      <c r="I4" s="9" t="s">
        <v>180</v>
      </c>
      <c r="J4" s="10" t="s">
        <v>182</v>
      </c>
    </row>
    <row r="5" spans="2:10" x14ac:dyDescent="0.35">
      <c r="B5" s="11">
        <f>IF(Table12[[#Headers],[Nama Program]]="","",ROW(F1))</f>
        <v>1</v>
      </c>
      <c r="C5" s="12" t="s">
        <v>183</v>
      </c>
      <c r="D5" s="11">
        <v>22</v>
      </c>
      <c r="E5" s="11">
        <v>39</v>
      </c>
      <c r="G5" s="12" t="s">
        <v>183</v>
      </c>
      <c r="H5" s="11">
        <v>22</v>
      </c>
      <c r="I5" s="11">
        <v>39</v>
      </c>
      <c r="J5" s="13">
        <v>1</v>
      </c>
    </row>
    <row r="6" spans="2:10" x14ac:dyDescent="0.35">
      <c r="B6" s="11">
        <f>IF(Table12[[#Headers],[Nama Program]]="","",ROW(F2))</f>
        <v>2</v>
      </c>
      <c r="C6" s="12" t="s">
        <v>184</v>
      </c>
      <c r="D6" s="11">
        <v>22</v>
      </c>
      <c r="E6" s="11">
        <v>24</v>
      </c>
      <c r="G6" s="12" t="s">
        <v>184</v>
      </c>
      <c r="H6" s="11">
        <v>22</v>
      </c>
      <c r="I6" s="11">
        <v>24</v>
      </c>
      <c r="J6" s="13">
        <v>1</v>
      </c>
    </row>
    <row r="7" spans="2:10" x14ac:dyDescent="0.35">
      <c r="B7" s="11">
        <f>IF(Table12[[#Headers],[Nama Program]]="","",ROW(F3))</f>
        <v>3</v>
      </c>
      <c r="C7" s="12" t="s">
        <v>185</v>
      </c>
      <c r="D7" s="11">
        <v>8</v>
      </c>
      <c r="E7" s="11">
        <v>419</v>
      </c>
      <c r="G7" s="12" t="s">
        <v>185</v>
      </c>
      <c r="H7" s="11">
        <v>8</v>
      </c>
      <c r="I7" s="11">
        <v>419</v>
      </c>
      <c r="J7" s="13">
        <v>1</v>
      </c>
    </row>
    <row r="8" spans="2:10" x14ac:dyDescent="0.35">
      <c r="B8" s="11">
        <f>IF(Table12[[#Headers],[Nama Program]]="","",ROW(F4))</f>
        <v>4</v>
      </c>
      <c r="C8" s="12" t="s">
        <v>186</v>
      </c>
      <c r="D8" s="11">
        <v>6</v>
      </c>
      <c r="E8" s="11">
        <v>366</v>
      </c>
      <c r="G8" s="12" t="s">
        <v>186</v>
      </c>
      <c r="H8" s="11">
        <v>6</v>
      </c>
      <c r="I8" s="11">
        <v>366</v>
      </c>
      <c r="J8" s="13">
        <v>1</v>
      </c>
    </row>
    <row r="9" spans="2:10" x14ac:dyDescent="0.35">
      <c r="B9" s="11">
        <f>IF(Table12[[#Headers],[Nama Program]]="","",ROW(F5))</f>
        <v>5</v>
      </c>
      <c r="C9" s="12" t="s">
        <v>187</v>
      </c>
      <c r="D9" s="11">
        <v>4</v>
      </c>
      <c r="E9" s="11">
        <v>102</v>
      </c>
      <c r="G9" s="12" t="s">
        <v>187</v>
      </c>
      <c r="H9" s="11">
        <v>4</v>
      </c>
      <c r="I9" s="11">
        <v>102</v>
      </c>
      <c r="J9" s="13">
        <v>1</v>
      </c>
    </row>
    <row r="10" spans="2:10" x14ac:dyDescent="0.35">
      <c r="B10" s="11">
        <f>IF(Table12[[#Headers],[Nama Program]]="","",ROW(F6))</f>
        <v>6</v>
      </c>
      <c r="C10" s="12" t="s">
        <v>188</v>
      </c>
      <c r="D10" s="11">
        <v>6</v>
      </c>
      <c r="E10" s="11">
        <v>340</v>
      </c>
      <c r="G10" s="12" t="s">
        <v>188</v>
      </c>
      <c r="H10" s="11">
        <v>6</v>
      </c>
      <c r="I10" s="11">
        <v>340</v>
      </c>
      <c r="J10" s="13">
        <v>1</v>
      </c>
    </row>
    <row r="11" spans="2:10" x14ac:dyDescent="0.35">
      <c r="B11" s="11">
        <f>IF(Table12[[#Headers],[Nama Program]]="","",ROW(F7))</f>
        <v>7</v>
      </c>
      <c r="C11" s="12" t="s">
        <v>189</v>
      </c>
      <c r="D11" s="11">
        <v>15</v>
      </c>
      <c r="E11" s="11">
        <v>80</v>
      </c>
      <c r="G11" s="12" t="s">
        <v>189</v>
      </c>
      <c r="H11" s="11">
        <v>15</v>
      </c>
      <c r="I11" s="11">
        <v>80</v>
      </c>
      <c r="J11" s="13">
        <v>1</v>
      </c>
    </row>
    <row r="12" spans="2:10" ht="15.5" x14ac:dyDescent="0.35">
      <c r="B12" s="11">
        <f>IF(Table12[[#Headers],[Nama Program]]="","",ROW(F8))</f>
        <v>8</v>
      </c>
      <c r="C12" s="19" t="s">
        <v>190</v>
      </c>
      <c r="D12" s="15">
        <v>8</v>
      </c>
      <c r="E12" s="11">
        <v>1080</v>
      </c>
      <c r="G12" s="32" t="s">
        <v>191</v>
      </c>
      <c r="H12" s="33">
        <f>SUM(H5:H11)</f>
        <v>83</v>
      </c>
      <c r="I12" s="33">
        <f>SUM(I5:I11)</f>
        <v>1370</v>
      </c>
      <c r="J12" s="34">
        <f>SUM(J5:J11)</f>
        <v>7</v>
      </c>
    </row>
    <row r="13" spans="2:10" x14ac:dyDescent="0.35">
      <c r="B13" s="11">
        <f>IF(Table12[[#Headers],[Nama Program]]="","",ROW(F9))</f>
        <v>9</v>
      </c>
      <c r="C13" s="19" t="s">
        <v>192</v>
      </c>
      <c r="D13" s="15">
        <v>7</v>
      </c>
      <c r="E13" s="11">
        <v>1760</v>
      </c>
      <c r="G13" s="16"/>
      <c r="H13" s="17"/>
      <c r="I13" s="17"/>
    </row>
    <row r="14" spans="2:10" x14ac:dyDescent="0.35">
      <c r="B14" s="11">
        <f>IF(Table12[[#Headers],[Nama Program]]="","",ROW(F10))</f>
        <v>10</v>
      </c>
      <c r="C14" s="19" t="s">
        <v>9</v>
      </c>
      <c r="D14" s="15">
        <v>73</v>
      </c>
      <c r="E14" s="11">
        <v>6676</v>
      </c>
      <c r="G14" s="8" t="s">
        <v>193</v>
      </c>
      <c r="H14" s="9" t="s">
        <v>198</v>
      </c>
      <c r="I14" s="9" t="s">
        <v>180</v>
      </c>
      <c r="J14" s="18" t="s">
        <v>182</v>
      </c>
    </row>
    <row r="15" spans="2:10" x14ac:dyDescent="0.35">
      <c r="B15" s="11">
        <f>IF(Table12[[#Headers],[Nama Program]]="","",ROW(F11))</f>
        <v>11</v>
      </c>
      <c r="C15" s="19" t="s">
        <v>603</v>
      </c>
      <c r="D15" s="15">
        <v>1</v>
      </c>
      <c r="E15" s="11">
        <v>156</v>
      </c>
      <c r="G15" s="19" t="s">
        <v>190</v>
      </c>
      <c r="H15" s="15">
        <v>8</v>
      </c>
      <c r="I15" s="11">
        <v>1080</v>
      </c>
      <c r="J15" s="13">
        <v>3</v>
      </c>
    </row>
    <row r="16" spans="2:10" x14ac:dyDescent="0.35">
      <c r="B16" s="11">
        <f>IF(Table12[[#Headers],[Nama Program]]="","",ROW(F12))</f>
        <v>12</v>
      </c>
      <c r="C16" s="19" t="s">
        <v>245</v>
      </c>
      <c r="D16" s="15">
        <v>9</v>
      </c>
      <c r="E16" s="11">
        <v>928</v>
      </c>
      <c r="G16" s="19" t="s">
        <v>192</v>
      </c>
      <c r="H16" s="15">
        <v>7</v>
      </c>
      <c r="I16" s="11">
        <v>1760</v>
      </c>
      <c r="J16" s="13">
        <v>7</v>
      </c>
    </row>
    <row r="17" spans="2:10" x14ac:dyDescent="0.35">
      <c r="B17" s="11">
        <f>IF(Table12[[#Headers],[Nama Program]]="","",ROW(F13))</f>
        <v>13</v>
      </c>
      <c r="C17" s="21" t="s">
        <v>196</v>
      </c>
      <c r="D17" s="22">
        <v>4</v>
      </c>
      <c r="E17" s="22">
        <v>17</v>
      </c>
      <c r="G17" s="19" t="s">
        <v>9</v>
      </c>
      <c r="H17" s="15">
        <v>73</v>
      </c>
      <c r="I17" s="11">
        <v>6676</v>
      </c>
      <c r="J17" s="13">
        <v>32</v>
      </c>
    </row>
    <row r="18" spans="2:10" x14ac:dyDescent="0.35">
      <c r="B18" s="11">
        <f>IF(Table12[[#Headers],[Nama Program]]="","",ROW(F14))</f>
        <v>14</v>
      </c>
      <c r="C18" s="25" t="s">
        <v>165</v>
      </c>
      <c r="D18" s="31">
        <v>2</v>
      </c>
      <c r="E18" s="31">
        <v>550</v>
      </c>
      <c r="G18" s="19" t="s">
        <v>603</v>
      </c>
      <c r="H18" s="15">
        <v>1</v>
      </c>
      <c r="I18" s="11">
        <v>156</v>
      </c>
      <c r="J18" s="13">
        <v>1</v>
      </c>
    </row>
    <row r="19" spans="2:10" x14ac:dyDescent="0.35">
      <c r="B19" s="11">
        <f>IF(Table12[[#Headers],[Nama Program]]="","",ROW(F15))</f>
        <v>15</v>
      </c>
      <c r="C19" s="42" t="s">
        <v>459</v>
      </c>
      <c r="D19" s="45">
        <v>5</v>
      </c>
      <c r="E19" s="45">
        <v>2016</v>
      </c>
      <c r="G19" s="19" t="s">
        <v>245</v>
      </c>
      <c r="H19" s="15">
        <v>9</v>
      </c>
      <c r="I19" s="11">
        <v>928</v>
      </c>
      <c r="J19" s="13">
        <v>7</v>
      </c>
    </row>
    <row r="20" spans="2:10" ht="15.5" x14ac:dyDescent="0.35">
      <c r="B20" s="11">
        <f>IF(Table12[[#Headers],[Nama Program]]="","",ROW(F16))</f>
        <v>16</v>
      </c>
      <c r="C20" s="54" t="s">
        <v>276</v>
      </c>
      <c r="D20" s="55">
        <v>4</v>
      </c>
      <c r="E20" s="55">
        <v>148</v>
      </c>
      <c r="G20" s="32" t="s">
        <v>191</v>
      </c>
      <c r="H20" s="35">
        <f>SUM(H15:H19)</f>
        <v>98</v>
      </c>
      <c r="I20" s="35">
        <f>SUM(I15:I19)</f>
        <v>10600</v>
      </c>
      <c r="J20" s="36">
        <f>SUM(J15:J19)</f>
        <v>50</v>
      </c>
    </row>
    <row r="21" spans="2:10" x14ac:dyDescent="0.35">
      <c r="B21" s="11">
        <f>IF(Table12[[#Headers],[Nama Program]]="","",ROW(F17))</f>
        <v>17</v>
      </c>
      <c r="C21" s="2" t="s">
        <v>297</v>
      </c>
      <c r="D21" s="55">
        <v>2</v>
      </c>
      <c r="E21" s="55">
        <v>110</v>
      </c>
    </row>
    <row r="22" spans="2:10" x14ac:dyDescent="0.35">
      <c r="B22" s="11">
        <f>IF(Table12[[#Headers],[Nama Program]]="","",ROW(F18))</f>
        <v>18</v>
      </c>
      <c r="C22" s="54" t="s">
        <v>332</v>
      </c>
      <c r="D22" s="55">
        <v>5</v>
      </c>
      <c r="E22" s="55">
        <v>4730</v>
      </c>
      <c r="G22" s="20" t="s">
        <v>195</v>
      </c>
      <c r="H22" s="9" t="s">
        <v>198</v>
      </c>
      <c r="I22" s="9" t="s">
        <v>180</v>
      </c>
      <c r="J22" s="18" t="s">
        <v>182</v>
      </c>
    </row>
    <row r="23" spans="2:10" x14ac:dyDescent="0.35">
      <c r="B23" s="11">
        <f>IF(Table12[[#Headers],[Nama Program]]="","",ROW(F19))</f>
        <v>19</v>
      </c>
      <c r="C23" s="2" t="s">
        <v>351</v>
      </c>
      <c r="D23" s="55">
        <v>6</v>
      </c>
      <c r="E23" s="55">
        <v>383</v>
      </c>
      <c r="G23" s="21" t="s">
        <v>196</v>
      </c>
      <c r="H23" s="22">
        <v>4</v>
      </c>
      <c r="I23" s="22">
        <v>17</v>
      </c>
      <c r="J23" s="23">
        <v>1</v>
      </c>
    </row>
    <row r="24" spans="2:10" x14ac:dyDescent="0.35">
      <c r="B24" s="11">
        <f>IF(Table12[[#Headers],[Nama Program]]="","",ROW(F20))</f>
        <v>20</v>
      </c>
      <c r="C24" s="54" t="s">
        <v>346</v>
      </c>
      <c r="D24" s="55">
        <v>5</v>
      </c>
      <c r="E24" s="55">
        <v>186</v>
      </c>
      <c r="H24" s="24"/>
      <c r="I24" s="24"/>
    </row>
    <row r="25" spans="2:10" x14ac:dyDescent="0.35">
      <c r="B25" s="11">
        <f>IF(Table12[[#Headers],[Nama Program]]="","",ROW(F21))</f>
        <v>21</v>
      </c>
      <c r="C25" s="54" t="s">
        <v>354</v>
      </c>
      <c r="D25" s="55">
        <v>1</v>
      </c>
      <c r="E25" s="55">
        <v>123</v>
      </c>
      <c r="G25" s="20" t="s">
        <v>197</v>
      </c>
      <c r="H25" s="9" t="s">
        <v>198</v>
      </c>
      <c r="I25" s="9" t="s">
        <v>180</v>
      </c>
      <c r="J25" s="18" t="s">
        <v>182</v>
      </c>
    </row>
    <row r="26" spans="2:10" x14ac:dyDescent="0.35">
      <c r="B26" s="11">
        <f>IF(Table12[[#Headers],[Nama Program]]="","",ROW(F22))</f>
        <v>22</v>
      </c>
      <c r="C26" s="54" t="s">
        <v>352</v>
      </c>
      <c r="D26" s="55">
        <v>9</v>
      </c>
      <c r="E26" s="55">
        <v>453</v>
      </c>
      <c r="G26" s="25" t="s">
        <v>165</v>
      </c>
      <c r="H26" s="31">
        <v>2</v>
      </c>
      <c r="I26" s="31">
        <v>550</v>
      </c>
      <c r="J26" s="13">
        <v>1</v>
      </c>
    </row>
    <row r="27" spans="2:10" ht="15.5" x14ac:dyDescent="0.35">
      <c r="B27" s="11">
        <f>IF(Table12[[#Headers],[Nama Program]]="","",ROW(F23))</f>
        <v>23</v>
      </c>
      <c r="C27" s="2" t="s">
        <v>353</v>
      </c>
      <c r="D27" s="55">
        <v>1</v>
      </c>
      <c r="E27" s="55">
        <v>50</v>
      </c>
      <c r="G27" s="37" t="s">
        <v>191</v>
      </c>
      <c r="H27" s="38">
        <f>SUM(H26:H26)</f>
        <v>2</v>
      </c>
      <c r="I27" s="38">
        <f>SUM(I26:I26)</f>
        <v>550</v>
      </c>
      <c r="J27" s="39">
        <f>SUM(J26:J26)</f>
        <v>1</v>
      </c>
    </row>
    <row r="28" spans="2:10" x14ac:dyDescent="0.35">
      <c r="B28" s="11">
        <f>IF(Table12[[#Headers],[Nama Program]]="","",ROW(F24))</f>
        <v>24</v>
      </c>
      <c r="C28" s="54" t="s">
        <v>327</v>
      </c>
      <c r="D28" s="55">
        <v>18</v>
      </c>
      <c r="E28" s="55">
        <v>1016</v>
      </c>
      <c r="G28" s="3"/>
      <c r="H28" s="27"/>
      <c r="I28" s="27"/>
      <c r="J28" s="27"/>
    </row>
    <row r="29" spans="2:10" x14ac:dyDescent="0.35">
      <c r="B29" s="11">
        <f>IF(Table12[[#Headers],[Nama Program]]="","",ROW(F25))</f>
        <v>25</v>
      </c>
      <c r="C29" s="54" t="s">
        <v>329</v>
      </c>
      <c r="D29" s="55">
        <v>2</v>
      </c>
      <c r="E29" s="55">
        <v>161</v>
      </c>
      <c r="G29" s="28" t="s">
        <v>348</v>
      </c>
      <c r="H29" s="29" t="s">
        <v>198</v>
      </c>
      <c r="I29" s="29" t="s">
        <v>180</v>
      </c>
      <c r="J29" s="10" t="s">
        <v>182</v>
      </c>
    </row>
    <row r="30" spans="2:10" x14ac:dyDescent="0.35">
      <c r="B30" s="11">
        <f>IF(Table12[[#Headers],[Nama Program]]="","",ROW(F26))</f>
        <v>26</v>
      </c>
      <c r="C30" s="54" t="s">
        <v>404</v>
      </c>
      <c r="D30" s="55">
        <v>1</v>
      </c>
      <c r="E30" s="55">
        <v>370</v>
      </c>
      <c r="G30" s="42" t="s">
        <v>459</v>
      </c>
      <c r="H30" s="45">
        <v>5</v>
      </c>
      <c r="I30" s="45">
        <v>2016</v>
      </c>
      <c r="J30" s="45">
        <v>5</v>
      </c>
    </row>
    <row r="31" spans="2:10" ht="15.5" x14ac:dyDescent="0.35">
      <c r="B31" s="11">
        <f>IF(Table12[[#Headers],[Nama Program]]="","",ROW(F27))</f>
        <v>27</v>
      </c>
      <c r="C31" s="54" t="s">
        <v>421</v>
      </c>
      <c r="D31" s="55">
        <v>2</v>
      </c>
      <c r="E31" s="55">
        <v>360</v>
      </c>
      <c r="G31" s="46" t="s">
        <v>191</v>
      </c>
      <c r="H31" s="44">
        <f>SUM(H30:H30)</f>
        <v>5</v>
      </c>
      <c r="I31" s="44">
        <f>SUM(I30:I30)</f>
        <v>2016</v>
      </c>
      <c r="J31" s="44">
        <f>SUM(J30:J30)</f>
        <v>5</v>
      </c>
    </row>
    <row r="32" spans="2:10" x14ac:dyDescent="0.35">
      <c r="B32" s="11">
        <f>IF(Table12[[#Headers],[Nama Program]]="","",ROW(F28))</f>
        <v>28</v>
      </c>
      <c r="C32" s="54" t="s">
        <v>436</v>
      </c>
      <c r="D32" s="55">
        <v>3</v>
      </c>
      <c r="E32" s="55">
        <v>1500</v>
      </c>
    </row>
    <row r="33" spans="2:11" x14ac:dyDescent="0.35">
      <c r="B33" s="11">
        <f>IF(Table12[[#Headers],[Nama Program]]="","",ROW(F29))</f>
        <v>29</v>
      </c>
      <c r="C33" s="54" t="s">
        <v>569</v>
      </c>
      <c r="D33" s="55">
        <v>8</v>
      </c>
      <c r="E33" s="55">
        <v>386</v>
      </c>
      <c r="G33" s="28" t="s">
        <v>349</v>
      </c>
      <c r="H33" s="29" t="s">
        <v>198</v>
      </c>
      <c r="I33" s="29" t="s">
        <v>180</v>
      </c>
      <c r="J33" s="10" t="s">
        <v>182</v>
      </c>
    </row>
    <row r="34" spans="2:11" x14ac:dyDescent="0.35">
      <c r="B34" s="11">
        <f>IF(Table12[[#Headers],[Nama Program]]="","",ROW(F30))</f>
        <v>30</v>
      </c>
      <c r="C34" s="54" t="s">
        <v>448</v>
      </c>
      <c r="D34" s="55">
        <v>3</v>
      </c>
      <c r="E34" s="55">
        <v>122</v>
      </c>
      <c r="G34" s="54" t="s">
        <v>276</v>
      </c>
      <c r="H34" s="55">
        <v>4</v>
      </c>
      <c r="I34" s="55">
        <v>148</v>
      </c>
      <c r="J34" s="56">
        <v>4</v>
      </c>
      <c r="K34" s="26"/>
    </row>
    <row r="35" spans="2:11" x14ac:dyDescent="0.35">
      <c r="B35" s="11">
        <f>IF(Table12[[#Headers],[Nama Program]]="","",ROW(F31))</f>
        <v>31</v>
      </c>
      <c r="C35" s="54" t="s">
        <v>260</v>
      </c>
      <c r="D35" s="55">
        <v>7</v>
      </c>
      <c r="E35" s="55">
        <v>276</v>
      </c>
      <c r="G35" s="2" t="s">
        <v>297</v>
      </c>
      <c r="H35" s="55">
        <v>2</v>
      </c>
      <c r="I35" s="55">
        <v>110</v>
      </c>
      <c r="J35" s="56">
        <v>2</v>
      </c>
      <c r="K35" s="26"/>
    </row>
    <row r="36" spans="2:11" ht="15.5" x14ac:dyDescent="0.35">
      <c r="B36" s="11">
        <f>IF(Table12[[#Headers],[Nama Program]]="","",ROW(F32))</f>
        <v>32</v>
      </c>
      <c r="C36" s="54" t="s">
        <v>447</v>
      </c>
      <c r="D36" s="55">
        <v>7</v>
      </c>
      <c r="E36" s="55">
        <v>271</v>
      </c>
      <c r="G36" s="46" t="s">
        <v>191</v>
      </c>
      <c r="H36" s="44">
        <f>SUM(H34:H35)</f>
        <v>6</v>
      </c>
      <c r="I36" s="44">
        <f>SUM(I34:I35)</f>
        <v>258</v>
      </c>
      <c r="J36" s="44">
        <f>SUM(J34:J35)</f>
        <v>6</v>
      </c>
      <c r="K36" s="26"/>
    </row>
    <row r="37" spans="2:11" x14ac:dyDescent="0.35">
      <c r="B37" s="11">
        <f>IF(Table12[[#Headers],[Nama Program]]="","",ROW(F33))</f>
        <v>33</v>
      </c>
      <c r="C37" s="54" t="s">
        <v>489</v>
      </c>
      <c r="D37" s="55">
        <v>1</v>
      </c>
      <c r="E37" s="55">
        <v>100</v>
      </c>
    </row>
    <row r="38" spans="2:11" x14ac:dyDescent="0.35">
      <c r="B38" s="11">
        <f>IF(Table12[[#Headers],[Nama Program]]="","",ROW(F34))</f>
        <v>34</v>
      </c>
      <c r="C38" s="54" t="s">
        <v>330</v>
      </c>
      <c r="D38" s="55">
        <v>1</v>
      </c>
      <c r="E38" s="55">
        <v>30</v>
      </c>
      <c r="G38" s="28" t="s">
        <v>350</v>
      </c>
      <c r="H38" s="29" t="s">
        <v>198</v>
      </c>
      <c r="I38" s="29" t="s">
        <v>180</v>
      </c>
      <c r="J38" s="10" t="s">
        <v>182</v>
      </c>
    </row>
    <row r="39" spans="2:11" x14ac:dyDescent="0.35">
      <c r="B39" s="11">
        <f>IF(Table12[[#Headers],[Nama Program]]="","",ROW(F35))</f>
        <v>35</v>
      </c>
      <c r="C39" s="54" t="s">
        <v>604</v>
      </c>
      <c r="D39" s="55">
        <v>1</v>
      </c>
      <c r="E39" s="55">
        <v>100</v>
      </c>
      <c r="G39" s="54" t="s">
        <v>332</v>
      </c>
      <c r="H39" s="55">
        <v>5</v>
      </c>
      <c r="I39" s="55">
        <v>4730</v>
      </c>
      <c r="J39" s="56">
        <v>5</v>
      </c>
    </row>
    <row r="40" spans="2:11" x14ac:dyDescent="0.35">
      <c r="B40" s="11">
        <f>IF(Table12[[#Headers],[Nama Program]]="","",ROW(F36))</f>
        <v>36</v>
      </c>
      <c r="C40" s="54" t="s">
        <v>605</v>
      </c>
      <c r="D40" s="55">
        <v>1</v>
      </c>
      <c r="E40" s="55">
        <v>100</v>
      </c>
      <c r="G40" s="2" t="s">
        <v>351</v>
      </c>
      <c r="H40" s="55">
        <v>6</v>
      </c>
      <c r="I40" s="55">
        <v>383</v>
      </c>
      <c r="J40" s="56">
        <v>6</v>
      </c>
    </row>
    <row r="41" spans="2:11" ht="15.5" x14ac:dyDescent="0.35">
      <c r="G41" s="46" t="s">
        <v>191</v>
      </c>
      <c r="H41" s="44">
        <f>SUM(H39:H40)</f>
        <v>11</v>
      </c>
      <c r="I41" s="44">
        <f>SUM(I39:I40)</f>
        <v>5113</v>
      </c>
      <c r="J41" s="44">
        <f>SUM(J39:J40)</f>
        <v>11</v>
      </c>
    </row>
    <row r="43" spans="2:11" ht="21" x14ac:dyDescent="0.5">
      <c r="B43" s="122" t="s">
        <v>194</v>
      </c>
      <c r="C43" s="123"/>
      <c r="D43" s="47">
        <f>SUM(D5:D40)</f>
        <v>280</v>
      </c>
      <c r="E43" s="47">
        <f>SUM(E5:E40)</f>
        <v>25528</v>
      </c>
      <c r="G43" s="28" t="s">
        <v>355</v>
      </c>
      <c r="H43" s="29" t="s">
        <v>198</v>
      </c>
      <c r="I43" s="29" t="s">
        <v>180</v>
      </c>
      <c r="J43" s="10" t="s">
        <v>182</v>
      </c>
    </row>
    <row r="44" spans="2:11" x14ac:dyDescent="0.35">
      <c r="G44" s="54" t="s">
        <v>346</v>
      </c>
      <c r="H44" s="55">
        <v>5</v>
      </c>
      <c r="I44" s="55">
        <v>186</v>
      </c>
      <c r="J44" s="56">
        <v>5</v>
      </c>
    </row>
    <row r="45" spans="2:11" x14ac:dyDescent="0.35">
      <c r="G45" s="54" t="s">
        <v>354</v>
      </c>
      <c r="H45" s="55">
        <v>1</v>
      </c>
      <c r="I45" s="55">
        <v>123</v>
      </c>
      <c r="J45" s="56">
        <v>1</v>
      </c>
    </row>
    <row r="46" spans="2:11" x14ac:dyDescent="0.35">
      <c r="G46" s="54" t="s">
        <v>352</v>
      </c>
      <c r="H46" s="55">
        <v>9</v>
      </c>
      <c r="I46" s="55">
        <v>453</v>
      </c>
      <c r="J46" s="56">
        <v>9</v>
      </c>
    </row>
    <row r="47" spans="2:11" x14ac:dyDescent="0.35">
      <c r="G47" s="2" t="s">
        <v>353</v>
      </c>
      <c r="H47" s="55">
        <v>1</v>
      </c>
      <c r="I47" s="55">
        <v>50</v>
      </c>
      <c r="J47" s="56">
        <v>1</v>
      </c>
    </row>
    <row r="48" spans="2:11" ht="15.5" x14ac:dyDescent="0.35">
      <c r="G48" s="46" t="s">
        <v>191</v>
      </c>
      <c r="H48" s="44">
        <f>SUM(H44:H47)</f>
        <v>16</v>
      </c>
      <c r="I48" s="44">
        <f>SUM(I44:I47)</f>
        <v>812</v>
      </c>
      <c r="J48" s="44">
        <f>SUM(J44:J47)</f>
        <v>16</v>
      </c>
    </row>
    <row r="50" spans="7:10" x14ac:dyDescent="0.35">
      <c r="G50" s="28" t="s">
        <v>356</v>
      </c>
      <c r="H50" s="29" t="s">
        <v>198</v>
      </c>
      <c r="I50" s="29" t="s">
        <v>180</v>
      </c>
      <c r="J50" s="10" t="s">
        <v>182</v>
      </c>
    </row>
    <row r="51" spans="7:10" x14ac:dyDescent="0.35">
      <c r="G51" s="54" t="s">
        <v>327</v>
      </c>
      <c r="H51" s="55">
        <v>18</v>
      </c>
      <c r="I51" s="55">
        <v>1016</v>
      </c>
      <c r="J51" s="56">
        <v>18</v>
      </c>
    </row>
    <row r="52" spans="7:10" x14ac:dyDescent="0.35">
      <c r="G52" s="54" t="s">
        <v>329</v>
      </c>
      <c r="H52" s="55">
        <v>2</v>
      </c>
      <c r="I52" s="55">
        <v>161</v>
      </c>
      <c r="J52" s="56">
        <v>2</v>
      </c>
    </row>
    <row r="53" spans="7:10" x14ac:dyDescent="0.35">
      <c r="G53" s="54" t="s">
        <v>404</v>
      </c>
      <c r="H53" s="55">
        <v>1</v>
      </c>
      <c r="I53" s="55">
        <v>370</v>
      </c>
      <c r="J53" s="56">
        <v>1</v>
      </c>
    </row>
    <row r="54" spans="7:10" x14ac:dyDescent="0.35">
      <c r="G54" s="54" t="s">
        <v>421</v>
      </c>
      <c r="H54" s="55">
        <v>2</v>
      </c>
      <c r="I54" s="55">
        <v>360</v>
      </c>
      <c r="J54" s="56">
        <v>2</v>
      </c>
    </row>
    <row r="55" spans="7:10" x14ac:dyDescent="0.35">
      <c r="G55" s="54" t="s">
        <v>436</v>
      </c>
      <c r="H55" s="55">
        <v>3</v>
      </c>
      <c r="I55" s="55">
        <v>1500</v>
      </c>
      <c r="J55" s="56">
        <v>3</v>
      </c>
    </row>
    <row r="56" spans="7:10" x14ac:dyDescent="0.35">
      <c r="G56" s="54" t="s">
        <v>569</v>
      </c>
      <c r="H56" s="55">
        <v>8</v>
      </c>
      <c r="I56" s="55">
        <v>386</v>
      </c>
      <c r="J56" s="56">
        <v>8</v>
      </c>
    </row>
    <row r="57" spans="7:10" x14ac:dyDescent="0.35">
      <c r="G57" s="54" t="s">
        <v>448</v>
      </c>
      <c r="H57" s="55">
        <v>3</v>
      </c>
      <c r="I57" s="55">
        <v>122</v>
      </c>
      <c r="J57" s="56">
        <v>3</v>
      </c>
    </row>
    <row r="58" spans="7:10" x14ac:dyDescent="0.35">
      <c r="G58" s="54" t="s">
        <v>260</v>
      </c>
      <c r="H58" s="55">
        <v>7</v>
      </c>
      <c r="I58" s="55">
        <v>276</v>
      </c>
      <c r="J58" s="56">
        <v>7</v>
      </c>
    </row>
    <row r="59" spans="7:10" x14ac:dyDescent="0.35">
      <c r="G59" s="54" t="s">
        <v>447</v>
      </c>
      <c r="H59" s="55">
        <v>7</v>
      </c>
      <c r="I59" s="55">
        <v>271</v>
      </c>
      <c r="J59" s="56">
        <v>7</v>
      </c>
    </row>
    <row r="60" spans="7:10" x14ac:dyDescent="0.35">
      <c r="G60" s="54" t="s">
        <v>489</v>
      </c>
      <c r="H60" s="55">
        <v>1</v>
      </c>
      <c r="I60" s="55">
        <v>100</v>
      </c>
      <c r="J60" s="56">
        <v>1</v>
      </c>
    </row>
    <row r="61" spans="7:10" x14ac:dyDescent="0.35">
      <c r="G61" s="54" t="s">
        <v>330</v>
      </c>
      <c r="H61" s="55">
        <v>1</v>
      </c>
      <c r="I61" s="55">
        <v>30</v>
      </c>
      <c r="J61" s="56">
        <v>1</v>
      </c>
    </row>
    <row r="62" spans="7:10" x14ac:dyDescent="0.35">
      <c r="G62" s="54" t="s">
        <v>604</v>
      </c>
      <c r="H62" s="55">
        <v>1</v>
      </c>
      <c r="I62" s="55">
        <v>100</v>
      </c>
      <c r="J62" s="56">
        <v>1</v>
      </c>
    </row>
    <row r="63" spans="7:10" x14ac:dyDescent="0.35">
      <c r="G63" s="54" t="s">
        <v>605</v>
      </c>
      <c r="H63" s="55">
        <v>1</v>
      </c>
      <c r="I63" s="55">
        <v>100</v>
      </c>
      <c r="J63" s="56">
        <v>1</v>
      </c>
    </row>
    <row r="64" spans="7:10" ht="15.5" x14ac:dyDescent="0.35">
      <c r="G64" s="46" t="s">
        <v>191</v>
      </c>
      <c r="H64" s="44">
        <f>SUM(H51:H63)</f>
        <v>55</v>
      </c>
      <c r="I64" s="44">
        <f>SUM(I51:I63)</f>
        <v>4792</v>
      </c>
      <c r="J64" s="44">
        <f>SUM(J51:J63)</f>
        <v>55</v>
      </c>
    </row>
    <row r="67" spans="7:10" ht="18.5" x14ac:dyDescent="0.45">
      <c r="G67" s="30" t="s">
        <v>194</v>
      </c>
      <c r="H67" s="30">
        <f>H23+H12+H20+H27+H31+H36+H41+H48+H64</f>
        <v>280</v>
      </c>
      <c r="I67" s="30">
        <f>I23+I12+I20+I27+I31+I36+I41+I48+I64</f>
        <v>25528</v>
      </c>
      <c r="J67" s="30">
        <f>J23+J12+J20+J27+J31+J36+J41+J48+J64</f>
        <v>152</v>
      </c>
    </row>
    <row r="1048508" spans="3:3" x14ac:dyDescent="0.35">
      <c r="C1048508" s="14" t="s">
        <v>199</v>
      </c>
    </row>
  </sheetData>
  <mergeCells count="3">
    <mergeCell ref="B2:E2"/>
    <mergeCell ref="G2:J2"/>
    <mergeCell ref="B43:C43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8314-68F1-46D2-8424-7A44F14D6B79}">
  <dimension ref="B1:T1048507"/>
  <sheetViews>
    <sheetView topLeftCell="D1" zoomScale="36" zoomScaleNormal="50" workbookViewId="0">
      <selection activeCell="H40" sqref="H40"/>
    </sheetView>
  </sheetViews>
  <sheetFormatPr defaultRowHeight="14.5" x14ac:dyDescent="0.35"/>
  <cols>
    <col min="2" max="2" width="5.1796875" customWidth="1"/>
    <col min="3" max="3" width="72.81640625" style="6" customWidth="1"/>
    <col min="4" max="4" width="18.81640625" style="7" customWidth="1"/>
    <col min="5" max="5" width="18.6328125" style="7" bestFit="1" customWidth="1"/>
    <col min="6" max="6" width="10.90625" customWidth="1"/>
    <col min="7" max="7" width="8.81640625" style="7" customWidth="1"/>
    <col min="8" max="8" width="72.81640625" style="7" bestFit="1" customWidth="1"/>
    <col min="9" max="9" width="22.90625" style="7" customWidth="1"/>
    <col min="10" max="10" width="18.54296875" customWidth="1"/>
    <col min="11" max="11" width="7.7265625" customWidth="1"/>
    <col min="12" max="12" width="11.1796875" customWidth="1"/>
    <col min="13" max="13" width="70.26953125" customWidth="1"/>
    <col min="14" max="14" width="22.81640625" customWidth="1"/>
    <col min="15" max="15" width="15.54296875" customWidth="1"/>
    <col min="16" max="16" width="7" customWidth="1"/>
    <col min="17" max="17" width="8.6328125" customWidth="1"/>
    <col min="18" max="18" width="72.81640625" bestFit="1" customWidth="1"/>
    <col min="19" max="19" width="17" customWidth="1"/>
    <col min="20" max="20" width="16.81640625" customWidth="1"/>
    <col min="21" max="24" width="47.54296875" customWidth="1"/>
  </cols>
  <sheetData>
    <row r="1" spans="2:20" ht="15" thickBot="1" x14ac:dyDescent="0.4"/>
    <row r="2" spans="2:20" ht="26.5" thickBot="1" x14ac:dyDescent="0.65">
      <c r="B2" s="126" t="s">
        <v>359</v>
      </c>
      <c r="C2" s="127"/>
      <c r="D2" s="127"/>
      <c r="E2" s="128"/>
      <c r="G2" s="126" t="s">
        <v>360</v>
      </c>
      <c r="H2" s="127"/>
      <c r="I2" s="127"/>
      <c r="J2" s="128"/>
      <c r="L2" s="126" t="s">
        <v>362</v>
      </c>
      <c r="M2" s="127"/>
      <c r="N2" s="127"/>
      <c r="O2" s="128"/>
      <c r="Q2" s="126" t="s">
        <v>365</v>
      </c>
      <c r="R2" s="127"/>
      <c r="S2" s="127"/>
      <c r="T2" s="128"/>
    </row>
    <row r="3" spans="2:20" x14ac:dyDescent="0.35">
      <c r="G3"/>
      <c r="H3" s="6"/>
      <c r="J3" s="7"/>
      <c r="M3" s="6"/>
      <c r="N3" s="7"/>
      <c r="O3" s="7"/>
      <c r="R3" s="6"/>
      <c r="S3" s="7"/>
      <c r="T3" s="7"/>
    </row>
    <row r="4" spans="2:20" ht="29" x14ac:dyDescent="0.35">
      <c r="B4" s="40" t="s">
        <v>28</v>
      </c>
      <c r="C4" s="40" t="s">
        <v>178</v>
      </c>
      <c r="D4" s="101" t="s">
        <v>179</v>
      </c>
      <c r="E4" s="102" t="s">
        <v>180</v>
      </c>
      <c r="G4" s="40" t="s">
        <v>28</v>
      </c>
      <c r="H4" s="40" t="s">
        <v>178</v>
      </c>
      <c r="I4" s="40" t="s">
        <v>179</v>
      </c>
      <c r="J4" s="41" t="s">
        <v>180</v>
      </c>
      <c r="L4" s="40" t="s">
        <v>28</v>
      </c>
      <c r="M4" s="40" t="s">
        <v>178</v>
      </c>
      <c r="N4" s="40" t="s">
        <v>179</v>
      </c>
      <c r="O4" s="41" t="s">
        <v>180</v>
      </c>
      <c r="Q4" s="40" t="s">
        <v>28</v>
      </c>
      <c r="R4" s="40" t="s">
        <v>178</v>
      </c>
      <c r="S4" s="40" t="s">
        <v>179</v>
      </c>
      <c r="T4" s="41" t="s">
        <v>180</v>
      </c>
    </row>
    <row r="5" spans="2:20" x14ac:dyDescent="0.35">
      <c r="B5" s="11">
        <f>IF(Table122410[[#Headers],[Nama Program]]="","",ROW(F1))</f>
        <v>1</v>
      </c>
      <c r="C5" s="42" t="s">
        <v>304</v>
      </c>
      <c r="D5" s="45">
        <v>2</v>
      </c>
      <c r="E5" s="45">
        <v>2400</v>
      </c>
      <c r="G5" s="11">
        <f>IF(Table12243046[[#Headers],[Nama Program]]="","",ROW(K1))</f>
        <v>1</v>
      </c>
      <c r="H5" s="54" t="s">
        <v>276</v>
      </c>
      <c r="I5" s="55">
        <v>2</v>
      </c>
      <c r="J5" s="55">
        <v>130</v>
      </c>
      <c r="L5" s="11">
        <f>IF(Table12241951[[#Headers],[Nama Program]]="","",ROW(P1))</f>
        <v>1</v>
      </c>
      <c r="M5" s="42" t="s">
        <v>304</v>
      </c>
      <c r="N5" s="45">
        <v>5</v>
      </c>
      <c r="O5" s="45">
        <v>6000</v>
      </c>
      <c r="Q5" s="11">
        <f>IF(Table12243657[[#Headers],[Nama Program]]="","",ROW(U1))</f>
        <v>1</v>
      </c>
      <c r="R5" s="54" t="s">
        <v>367</v>
      </c>
      <c r="S5" s="55">
        <v>1</v>
      </c>
      <c r="T5" s="55">
        <v>850</v>
      </c>
    </row>
    <row r="6" spans="2:20" x14ac:dyDescent="0.35">
      <c r="B6" s="11">
        <f>IF(Table122410[[#Headers],[Nama Program]]="","",ROW(F2))</f>
        <v>2</v>
      </c>
      <c r="C6" s="42" t="s">
        <v>606</v>
      </c>
      <c r="D6" s="45">
        <v>5</v>
      </c>
      <c r="E6" s="45">
        <v>2016</v>
      </c>
      <c r="G6" s="11">
        <f>IF(Table12243046[[#Headers],[Nama Program]]="","",ROW(K2))</f>
        <v>2</v>
      </c>
      <c r="H6" s="2" t="s">
        <v>351</v>
      </c>
      <c r="I6" s="45">
        <v>5</v>
      </c>
      <c r="J6" s="45">
        <v>1100</v>
      </c>
      <c r="L6" s="11">
        <f>IF(Table12241951[[#Headers],[Nama Program]]="","",ROW(P2))</f>
        <v>2</v>
      </c>
      <c r="M6" s="54" t="s">
        <v>276</v>
      </c>
      <c r="N6" s="55">
        <v>9</v>
      </c>
      <c r="O6" s="55">
        <v>601</v>
      </c>
      <c r="Q6" s="11">
        <f>IF(Table12243657[[#Headers],[Nama Program]]="","",ROW(U2))</f>
        <v>2</v>
      </c>
      <c r="R6" s="2" t="s">
        <v>351</v>
      </c>
      <c r="S6" s="45">
        <v>2</v>
      </c>
      <c r="T6" s="45">
        <v>220</v>
      </c>
    </row>
    <row r="7" spans="2:20" x14ac:dyDescent="0.35">
      <c r="B7" s="11">
        <f>IF(Table122410[[#Headers],[Nama Program]]="","",ROW(F3))</f>
        <v>3</v>
      </c>
      <c r="C7" s="54" t="s">
        <v>276</v>
      </c>
      <c r="D7" s="55">
        <v>12</v>
      </c>
      <c r="E7" s="55">
        <v>759</v>
      </c>
      <c r="G7" s="11">
        <f>IF(Table12243046[[#Headers],[Nama Program]]="","",ROW(K3))</f>
        <v>3</v>
      </c>
      <c r="H7" s="54" t="s">
        <v>352</v>
      </c>
      <c r="I7" s="55">
        <v>4</v>
      </c>
      <c r="J7" s="55">
        <v>720</v>
      </c>
      <c r="L7" s="11">
        <f>IF(Table12241951[[#Headers],[Nama Program]]="","",ROW(P3))</f>
        <v>3</v>
      </c>
      <c r="M7" s="2" t="s">
        <v>297</v>
      </c>
      <c r="N7" s="45">
        <v>1</v>
      </c>
      <c r="O7" s="45">
        <v>147</v>
      </c>
      <c r="Q7" s="11">
        <f>IF(Table12243657[[#Headers],[Nama Program]]="","",ROW(U3))</f>
        <v>3</v>
      </c>
      <c r="R7" s="54" t="s">
        <v>352</v>
      </c>
      <c r="S7" s="55">
        <v>3</v>
      </c>
      <c r="T7" s="55">
        <v>276</v>
      </c>
    </row>
    <row r="8" spans="2:20" x14ac:dyDescent="0.35">
      <c r="B8" s="11">
        <f>IF(Table122410[[#Headers],[Nama Program]]="","",ROW(F4))</f>
        <v>4</v>
      </c>
      <c r="C8" s="2" t="s">
        <v>297</v>
      </c>
      <c r="D8" s="45">
        <v>5</v>
      </c>
      <c r="E8" s="45">
        <v>415</v>
      </c>
      <c r="G8" s="11">
        <f>IF(Table12243046[[#Headers],[Nama Program]]="","",ROW(K4))</f>
        <v>4</v>
      </c>
      <c r="H8" s="54" t="s">
        <v>357</v>
      </c>
      <c r="I8" s="55">
        <v>1</v>
      </c>
      <c r="J8" s="55">
        <v>30</v>
      </c>
      <c r="L8" s="11">
        <f>IF(Table12241951[[#Headers],[Nama Program]]="","",ROW(P4))</f>
        <v>4</v>
      </c>
      <c r="M8" s="54" t="s">
        <v>332</v>
      </c>
      <c r="N8" s="55">
        <v>1</v>
      </c>
      <c r="O8" s="55">
        <v>28</v>
      </c>
      <c r="Q8" s="11">
        <f>IF(Table12243657[[#Headers],[Nama Program]]="","",ROW(U4))</f>
        <v>4</v>
      </c>
      <c r="R8" s="54" t="s">
        <v>260</v>
      </c>
      <c r="S8" s="55">
        <v>4</v>
      </c>
      <c r="T8" s="55">
        <v>261</v>
      </c>
    </row>
    <row r="9" spans="2:20" x14ac:dyDescent="0.35">
      <c r="B9" s="11">
        <f>IF(Table122410[[#Headers],[Nama Program]]="","",ROW(F5))</f>
        <v>5</v>
      </c>
      <c r="C9" s="54" t="s">
        <v>332</v>
      </c>
      <c r="D9" s="55">
        <v>15</v>
      </c>
      <c r="E9" s="55">
        <v>16565</v>
      </c>
      <c r="G9"/>
      <c r="H9" s="6"/>
      <c r="J9" s="7"/>
      <c r="L9" s="11">
        <f>IF(Table12241951[[#Headers],[Nama Program]]="","",ROW(P5))</f>
        <v>5</v>
      </c>
      <c r="M9" s="2" t="s">
        <v>351</v>
      </c>
      <c r="N9" s="45">
        <v>6</v>
      </c>
      <c r="O9" s="45">
        <v>803</v>
      </c>
      <c r="Q9" s="11">
        <f>IF(Table12243657[[#Headers],[Nama Program]]="","",ROW(U5))</f>
        <v>5</v>
      </c>
      <c r="R9" s="54" t="s">
        <v>357</v>
      </c>
      <c r="S9" s="55">
        <v>1</v>
      </c>
      <c r="T9" s="55">
        <v>34</v>
      </c>
    </row>
    <row r="10" spans="2:20" ht="21" x14ac:dyDescent="0.5">
      <c r="B10" s="11">
        <f>IF(Table122410[[#Headers],[Nama Program]]="","",ROW(F6))</f>
        <v>6</v>
      </c>
      <c r="C10" s="2" t="s">
        <v>351</v>
      </c>
      <c r="D10" s="45">
        <v>21</v>
      </c>
      <c r="E10" s="45">
        <v>2938</v>
      </c>
      <c r="G10" s="122" t="s">
        <v>194</v>
      </c>
      <c r="H10" s="123"/>
      <c r="I10" s="64">
        <f>SUM(I5:I8)</f>
        <v>12</v>
      </c>
      <c r="J10" s="64">
        <f>SUM(J5:J8)</f>
        <v>1980</v>
      </c>
      <c r="L10" s="11">
        <f>IF(Table12241951[[#Headers],[Nama Program]]="","",ROW(P6))</f>
        <v>6</v>
      </c>
      <c r="M10" s="54" t="s">
        <v>352</v>
      </c>
      <c r="N10" s="55">
        <v>2</v>
      </c>
      <c r="O10" s="55">
        <v>90</v>
      </c>
      <c r="R10" s="6"/>
      <c r="S10" s="7"/>
      <c r="T10" s="7"/>
    </row>
    <row r="11" spans="2:20" ht="21" x14ac:dyDescent="0.5">
      <c r="B11" s="11">
        <f>IF(Table122410[[#Headers],[Nama Program]]="","",ROW(F7))</f>
        <v>7</v>
      </c>
      <c r="C11" s="54" t="s">
        <v>346</v>
      </c>
      <c r="D11" s="55">
        <v>6</v>
      </c>
      <c r="E11" s="55">
        <v>261</v>
      </c>
      <c r="G11"/>
      <c r="H11" s="6"/>
      <c r="J11" s="7"/>
      <c r="L11" s="11">
        <f>IF(Table12241951[[#Headers],[Nama Program]]="","",ROW(P7))</f>
        <v>7</v>
      </c>
      <c r="M11" s="54" t="s">
        <v>358</v>
      </c>
      <c r="N11" s="55">
        <v>4</v>
      </c>
      <c r="O11" s="55">
        <v>225</v>
      </c>
      <c r="Q11" s="122" t="s">
        <v>194</v>
      </c>
      <c r="R11" s="123"/>
      <c r="S11" s="65">
        <f>SUM(S5:S9)</f>
        <v>11</v>
      </c>
      <c r="T11" s="65">
        <v>1611</v>
      </c>
    </row>
    <row r="12" spans="2:20" x14ac:dyDescent="0.35">
      <c r="B12" s="11">
        <f>IF(Table122410[[#Headers],[Nama Program]]="","",ROW(F8))</f>
        <v>8</v>
      </c>
      <c r="C12" s="54" t="s">
        <v>345</v>
      </c>
      <c r="D12" s="55">
        <v>1</v>
      </c>
      <c r="E12" s="55">
        <v>85</v>
      </c>
      <c r="G12"/>
      <c r="H12" s="6"/>
      <c r="J12" s="7"/>
      <c r="M12" s="6"/>
      <c r="N12" s="7"/>
      <c r="O12" s="7"/>
      <c r="R12" s="6"/>
      <c r="S12" s="7"/>
      <c r="T12" s="7"/>
    </row>
    <row r="13" spans="2:20" ht="21.5" thickBot="1" x14ac:dyDescent="0.55000000000000004">
      <c r="B13" s="11">
        <f>IF(Table122410[[#Headers],[Nama Program]]="","",ROW(F9))</f>
        <v>9</v>
      </c>
      <c r="C13" s="54" t="s">
        <v>354</v>
      </c>
      <c r="D13" s="55">
        <v>2</v>
      </c>
      <c r="E13" s="55">
        <v>133</v>
      </c>
      <c r="G13"/>
      <c r="H13" s="6"/>
      <c r="J13" s="7"/>
      <c r="L13" s="122" t="s">
        <v>194</v>
      </c>
      <c r="M13" s="123"/>
      <c r="N13" s="65">
        <f>SUM(N5:N11)</f>
        <v>28</v>
      </c>
      <c r="O13" s="65">
        <f>SUM(O5:O11)</f>
        <v>7894</v>
      </c>
      <c r="R13" s="6"/>
      <c r="S13" s="7"/>
      <c r="T13" s="7"/>
    </row>
    <row r="14" spans="2:20" ht="21.5" thickBot="1" x14ac:dyDescent="0.55000000000000004">
      <c r="B14" s="11">
        <f>IF(Table122410[[#Headers],[Nama Program]]="","",ROW(F10))</f>
        <v>10</v>
      </c>
      <c r="C14" s="54" t="s">
        <v>352</v>
      </c>
      <c r="D14" s="55">
        <v>20</v>
      </c>
      <c r="E14" s="55">
        <v>1286</v>
      </c>
      <c r="G14"/>
      <c r="H14" s="112" t="s">
        <v>361</v>
      </c>
      <c r="I14" s="124"/>
      <c r="J14" s="125"/>
      <c r="M14" s="6"/>
      <c r="N14" s="7"/>
      <c r="O14" s="7"/>
      <c r="R14" s="6"/>
      <c r="S14" s="7"/>
      <c r="T14" s="7"/>
    </row>
    <row r="15" spans="2:20" ht="21.5" thickBot="1" x14ac:dyDescent="0.55000000000000004">
      <c r="B15" s="11">
        <f>IF(Table122410[[#Headers],[Nama Program]]="","",ROW(F11))</f>
        <v>11</v>
      </c>
      <c r="C15" s="2" t="s">
        <v>353</v>
      </c>
      <c r="D15" s="45">
        <v>8</v>
      </c>
      <c r="E15" s="45">
        <v>498</v>
      </c>
      <c r="G15"/>
      <c r="H15"/>
      <c r="J15" s="7"/>
      <c r="M15" s="6"/>
      <c r="N15" s="7"/>
      <c r="O15" s="7"/>
      <c r="R15" s="112" t="s">
        <v>366</v>
      </c>
      <c r="S15" s="124"/>
      <c r="T15" s="125"/>
    </row>
    <row r="16" spans="2:20" ht="15" thickBot="1" x14ac:dyDescent="0.4">
      <c r="B16" s="11">
        <f>IF(Table122410[[#Headers],[Nama Program]]="","",ROW(F12))</f>
        <v>12</v>
      </c>
      <c r="C16" s="54" t="s">
        <v>607</v>
      </c>
      <c r="D16" s="55">
        <v>34</v>
      </c>
      <c r="E16" s="55">
        <v>2640</v>
      </c>
      <c r="G16"/>
      <c r="H16" s="62" t="s">
        <v>349</v>
      </c>
      <c r="I16" s="63" t="s">
        <v>198</v>
      </c>
      <c r="J16" s="63" t="s">
        <v>180</v>
      </c>
      <c r="M16" s="6"/>
      <c r="N16" s="7"/>
      <c r="O16" s="7"/>
      <c r="S16" s="7"/>
      <c r="T16" s="7"/>
    </row>
    <row r="17" spans="2:20" ht="21.5" thickBot="1" x14ac:dyDescent="0.55000000000000004">
      <c r="B17" s="11">
        <f>IF(Table122410[[#Headers],[Nama Program]]="","",ROW(F13))</f>
        <v>13</v>
      </c>
      <c r="C17" s="54" t="s">
        <v>329</v>
      </c>
      <c r="D17" s="55">
        <v>7</v>
      </c>
      <c r="E17" s="55">
        <v>587</v>
      </c>
      <c r="G17"/>
      <c r="H17" s="54" t="s">
        <v>276</v>
      </c>
      <c r="I17" s="55">
        <v>2</v>
      </c>
      <c r="J17" s="55">
        <v>130</v>
      </c>
      <c r="M17" s="112" t="s">
        <v>363</v>
      </c>
      <c r="N17" s="124"/>
      <c r="O17" s="125"/>
      <c r="Q17" s="6"/>
      <c r="R17" s="62" t="s">
        <v>349</v>
      </c>
      <c r="S17" s="63" t="s">
        <v>198</v>
      </c>
      <c r="T17" s="63" t="s">
        <v>180</v>
      </c>
    </row>
    <row r="18" spans="2:20" ht="15.5" x14ac:dyDescent="0.35">
      <c r="B18" s="11">
        <f>IF(Table122410[[#Headers],[Nama Program]]="","",ROW(F14))</f>
        <v>14</v>
      </c>
      <c r="C18" s="54" t="s">
        <v>404</v>
      </c>
      <c r="D18" s="55">
        <v>1</v>
      </c>
      <c r="E18" s="55">
        <v>370</v>
      </c>
      <c r="G18"/>
      <c r="H18" s="46" t="s">
        <v>191</v>
      </c>
      <c r="I18" s="44">
        <f>SUM(I17:I17)</f>
        <v>2</v>
      </c>
      <c r="J18" s="44">
        <f>SUM(J17:J17)</f>
        <v>130</v>
      </c>
      <c r="N18" s="7"/>
      <c r="O18" s="7"/>
      <c r="R18" s="54" t="s">
        <v>367</v>
      </c>
      <c r="S18" s="55">
        <v>1</v>
      </c>
      <c r="T18" s="55">
        <v>850</v>
      </c>
    </row>
    <row r="19" spans="2:20" ht="15.5" x14ac:dyDescent="0.35">
      <c r="B19" s="11">
        <f>IF(Table122410[[#Headers],[Nama Program]]="","",ROW(F15))</f>
        <v>15</v>
      </c>
      <c r="C19" s="54" t="s">
        <v>421</v>
      </c>
      <c r="D19" s="55">
        <v>2</v>
      </c>
      <c r="E19" s="55">
        <v>360</v>
      </c>
      <c r="G19"/>
      <c r="H19"/>
      <c r="J19" s="7"/>
      <c r="L19" s="6"/>
      <c r="M19" s="62" t="s">
        <v>348</v>
      </c>
      <c r="N19" s="63" t="s">
        <v>198</v>
      </c>
      <c r="O19" s="63" t="s">
        <v>180</v>
      </c>
      <c r="R19" s="46" t="s">
        <v>191</v>
      </c>
      <c r="S19" s="44">
        <f>SUM(S18:S18)</f>
        <v>1</v>
      </c>
      <c r="T19" s="44">
        <f>SUM(T18:T18)</f>
        <v>850</v>
      </c>
    </row>
    <row r="20" spans="2:20" x14ac:dyDescent="0.35">
      <c r="B20" s="11">
        <f>IF(Table122410[[#Headers],[Nama Program]]="","",ROW(F16))</f>
        <v>16</v>
      </c>
      <c r="C20" s="54" t="s">
        <v>436</v>
      </c>
      <c r="D20" s="55">
        <v>3</v>
      </c>
      <c r="E20" s="55">
        <v>1500</v>
      </c>
      <c r="G20"/>
      <c r="H20" s="62" t="s">
        <v>350</v>
      </c>
      <c r="I20" s="63" t="s">
        <v>198</v>
      </c>
      <c r="J20" s="63" t="s">
        <v>180</v>
      </c>
      <c r="M20" s="42" t="s">
        <v>304</v>
      </c>
      <c r="N20" s="45">
        <v>5</v>
      </c>
      <c r="O20" s="45">
        <v>6000</v>
      </c>
      <c r="S20" s="7"/>
      <c r="T20" s="7"/>
    </row>
    <row r="21" spans="2:20" ht="15.5" x14ac:dyDescent="0.35">
      <c r="B21" s="11">
        <f>IF(Table122410[[#Headers],[Nama Program]]="","",ROW(F17))</f>
        <v>17</v>
      </c>
      <c r="C21" s="54" t="s">
        <v>448</v>
      </c>
      <c r="D21" s="55">
        <v>3</v>
      </c>
      <c r="E21" s="55">
        <v>122</v>
      </c>
      <c r="G21"/>
      <c r="H21" s="2" t="s">
        <v>351</v>
      </c>
      <c r="I21" s="45">
        <v>5</v>
      </c>
      <c r="J21" s="45">
        <v>1100</v>
      </c>
      <c r="M21" s="46" t="s">
        <v>191</v>
      </c>
      <c r="N21" s="44">
        <f>SUM(N20:N20)</f>
        <v>5</v>
      </c>
      <c r="O21" s="44">
        <f>SUM(O20:O20)</f>
        <v>6000</v>
      </c>
      <c r="Q21" s="6"/>
      <c r="R21" s="62" t="s">
        <v>350</v>
      </c>
      <c r="S21" s="63" t="s">
        <v>198</v>
      </c>
      <c r="T21" s="63" t="s">
        <v>180</v>
      </c>
    </row>
    <row r="22" spans="2:20" ht="15.5" x14ac:dyDescent="0.35">
      <c r="B22" s="11">
        <f>IF(Table122410[[#Headers],[Nama Program]]="","",ROW(F18))</f>
        <v>18</v>
      </c>
      <c r="C22" s="54" t="s">
        <v>260</v>
      </c>
      <c r="D22" s="55">
        <v>9</v>
      </c>
      <c r="E22" s="55">
        <v>386</v>
      </c>
      <c r="H22" s="46" t="s">
        <v>191</v>
      </c>
      <c r="I22" s="44">
        <f>SUM(I21:I21)</f>
        <v>5</v>
      </c>
      <c r="J22" s="44">
        <f>SUM(J21:J21)</f>
        <v>1100</v>
      </c>
      <c r="N22" s="7"/>
      <c r="O22" s="7"/>
      <c r="R22" s="2" t="s">
        <v>351</v>
      </c>
      <c r="S22" s="45">
        <v>2</v>
      </c>
      <c r="T22" s="45">
        <v>220</v>
      </c>
    </row>
    <row r="23" spans="2:20" ht="15.5" x14ac:dyDescent="0.35">
      <c r="B23" s="11">
        <f>IF(Table122410[[#Headers],[Nama Program]]="","",ROW(F19))</f>
        <v>19</v>
      </c>
      <c r="C23" s="54" t="s">
        <v>447</v>
      </c>
      <c r="D23" s="55">
        <v>7</v>
      </c>
      <c r="E23" s="55">
        <v>271</v>
      </c>
      <c r="G23"/>
      <c r="H23"/>
      <c r="J23" s="7"/>
      <c r="L23" s="6"/>
      <c r="M23" s="62" t="s">
        <v>349</v>
      </c>
      <c r="N23" s="63" t="s">
        <v>198</v>
      </c>
      <c r="O23" s="63" t="s">
        <v>180</v>
      </c>
      <c r="R23" s="46" t="s">
        <v>191</v>
      </c>
      <c r="S23" s="44">
        <f>SUM(S22:S22)</f>
        <v>2</v>
      </c>
      <c r="T23" s="44">
        <f>SUM(T22:T22)</f>
        <v>220</v>
      </c>
    </row>
    <row r="24" spans="2:20" x14ac:dyDescent="0.35">
      <c r="B24" s="11">
        <f>IF(Table122410[[#Headers],[Nama Program]]="","",ROW(F20))</f>
        <v>20</v>
      </c>
      <c r="C24" s="54" t="s">
        <v>489</v>
      </c>
      <c r="D24" s="55">
        <v>1</v>
      </c>
      <c r="E24" s="55">
        <v>100</v>
      </c>
      <c r="G24"/>
      <c r="H24" s="62" t="s">
        <v>355</v>
      </c>
      <c r="I24" s="63" t="s">
        <v>198</v>
      </c>
      <c r="J24" s="63" t="s">
        <v>180</v>
      </c>
      <c r="M24" s="54" t="s">
        <v>276</v>
      </c>
      <c r="N24" s="55">
        <v>9</v>
      </c>
      <c r="O24" s="55">
        <v>601</v>
      </c>
      <c r="S24" s="7"/>
      <c r="T24" s="7"/>
    </row>
    <row r="25" spans="2:20" x14ac:dyDescent="0.35">
      <c r="B25" s="11">
        <f>IF(Table122410[[#Headers],[Nama Program]]="","",ROW(F21))</f>
        <v>21</v>
      </c>
      <c r="C25" s="54" t="s">
        <v>604</v>
      </c>
      <c r="D25" s="55">
        <v>1</v>
      </c>
      <c r="E25" s="55">
        <v>100</v>
      </c>
      <c r="G25"/>
      <c r="H25" s="54" t="s">
        <v>352</v>
      </c>
      <c r="I25" s="55">
        <v>4</v>
      </c>
      <c r="J25" s="55">
        <v>720</v>
      </c>
      <c r="M25" s="2" t="s">
        <v>297</v>
      </c>
      <c r="N25" s="45">
        <v>1</v>
      </c>
      <c r="O25" s="45">
        <v>147</v>
      </c>
      <c r="R25" s="62" t="s">
        <v>355</v>
      </c>
      <c r="S25" s="63" t="s">
        <v>198</v>
      </c>
      <c r="T25" s="63" t="s">
        <v>180</v>
      </c>
    </row>
    <row r="26" spans="2:20" ht="15.5" x14ac:dyDescent="0.35">
      <c r="B26" s="11">
        <f>IF(Table122410[[#Headers],[Nama Program]]="","",ROW(F22))</f>
        <v>22</v>
      </c>
      <c r="C26" s="54" t="s">
        <v>335</v>
      </c>
      <c r="D26" s="55">
        <v>3</v>
      </c>
      <c r="E26" s="55">
        <v>94</v>
      </c>
      <c r="G26"/>
      <c r="H26" s="46" t="s">
        <v>191</v>
      </c>
      <c r="I26" s="44">
        <f>SUM(I25:I25)</f>
        <v>4</v>
      </c>
      <c r="J26" s="44">
        <f>SUM(J25:J25)</f>
        <v>720</v>
      </c>
      <c r="M26" s="46" t="s">
        <v>191</v>
      </c>
      <c r="N26" s="44">
        <f>SUM(N24:N25)</f>
        <v>10</v>
      </c>
      <c r="O26" s="44">
        <f>SUM(O24:O25)</f>
        <v>748</v>
      </c>
      <c r="Q26" s="6"/>
      <c r="R26" s="54" t="s">
        <v>352</v>
      </c>
      <c r="S26" s="55">
        <v>3</v>
      </c>
      <c r="T26" s="55">
        <v>276</v>
      </c>
    </row>
    <row r="27" spans="2:20" ht="15.5" x14ac:dyDescent="0.35">
      <c r="B27" s="11">
        <f>IF(Table122410[[#Headers],[Nama Program]]="","",ROW(F23))</f>
        <v>23</v>
      </c>
      <c r="C27" s="54" t="s">
        <v>569</v>
      </c>
      <c r="D27" s="55">
        <v>8</v>
      </c>
      <c r="E27" s="55">
        <v>386</v>
      </c>
      <c r="G27"/>
      <c r="H27"/>
      <c r="J27" s="7"/>
      <c r="N27" s="7"/>
      <c r="O27" s="7"/>
      <c r="R27" s="46" t="s">
        <v>191</v>
      </c>
      <c r="S27" s="44">
        <f>SUM(S26:S26)</f>
        <v>3</v>
      </c>
      <c r="T27" s="44">
        <f>SUM(T26:T26)</f>
        <v>276</v>
      </c>
    </row>
    <row r="28" spans="2:20" s="6" customFormat="1" x14ac:dyDescent="0.35">
      <c r="B28" s="11">
        <f>IF(Table122410[[#Headers],[Nama Program]]="","",ROW(F24))</f>
        <v>24</v>
      </c>
      <c r="C28" s="54" t="s">
        <v>580</v>
      </c>
      <c r="D28" s="55">
        <v>1</v>
      </c>
      <c r="E28" s="55">
        <v>100</v>
      </c>
      <c r="H28" s="62" t="s">
        <v>356</v>
      </c>
      <c r="I28" s="63" t="s">
        <v>198</v>
      </c>
      <c r="J28" s="63" t="s">
        <v>180</v>
      </c>
      <c r="M28" s="62" t="s">
        <v>350</v>
      </c>
      <c r="N28" s="63" t="s">
        <v>198</v>
      </c>
      <c r="O28" s="63" t="s">
        <v>180</v>
      </c>
      <c r="Q28"/>
      <c r="R28"/>
      <c r="S28" s="7"/>
      <c r="T28" s="7"/>
    </row>
    <row r="29" spans="2:20" x14ac:dyDescent="0.35">
      <c r="B29" s="11">
        <f>IF(Table122410[[#Headers],[Nama Program]]="","",ROW(F25))</f>
        <v>25</v>
      </c>
      <c r="C29" s="54" t="s">
        <v>358</v>
      </c>
      <c r="D29" s="55">
        <v>5</v>
      </c>
      <c r="E29" s="55">
        <v>549</v>
      </c>
      <c r="G29"/>
      <c r="H29" s="54" t="s">
        <v>357</v>
      </c>
      <c r="I29" s="55">
        <v>1</v>
      </c>
      <c r="J29" s="55">
        <v>30</v>
      </c>
      <c r="M29" s="54" t="s">
        <v>332</v>
      </c>
      <c r="N29" s="55">
        <v>1</v>
      </c>
      <c r="O29" s="55">
        <v>28</v>
      </c>
      <c r="R29" s="62" t="s">
        <v>356</v>
      </c>
      <c r="S29" s="63" t="s">
        <v>198</v>
      </c>
      <c r="T29" s="63" t="s">
        <v>180</v>
      </c>
    </row>
    <row r="30" spans="2:20" ht="15.5" x14ac:dyDescent="0.35">
      <c r="G30"/>
      <c r="H30" s="46" t="s">
        <v>191</v>
      </c>
      <c r="I30" s="44">
        <f>SUM(I29:I29)</f>
        <v>1</v>
      </c>
      <c r="J30" s="44">
        <f>SUM(J29:J29)</f>
        <v>30</v>
      </c>
      <c r="M30" s="2" t="s">
        <v>351</v>
      </c>
      <c r="N30" s="45">
        <v>6</v>
      </c>
      <c r="O30" s="45">
        <v>803</v>
      </c>
      <c r="R30" s="54" t="s">
        <v>260</v>
      </c>
      <c r="S30" s="55">
        <v>4</v>
      </c>
      <c r="T30" s="55">
        <v>261</v>
      </c>
    </row>
    <row r="31" spans="2:20" ht="15.5" x14ac:dyDescent="0.35">
      <c r="G31"/>
      <c r="H31"/>
      <c r="J31" s="7"/>
      <c r="M31" s="46" t="s">
        <v>191</v>
      </c>
      <c r="N31" s="44">
        <f>SUM(N29:N30)</f>
        <v>7</v>
      </c>
      <c r="O31" s="44">
        <f>SUM(O29:O30)</f>
        <v>831</v>
      </c>
      <c r="Q31" s="6"/>
      <c r="R31" s="54" t="s">
        <v>357</v>
      </c>
      <c r="S31" s="55">
        <v>1</v>
      </c>
      <c r="T31" s="55">
        <v>4</v>
      </c>
    </row>
    <row r="32" spans="2:20" s="6" customFormat="1" ht="21" x14ac:dyDescent="0.5">
      <c r="B32" s="122" t="s">
        <v>194</v>
      </c>
      <c r="C32" s="123"/>
      <c r="D32" s="47">
        <f>SUM(D5:D29)</f>
        <v>182</v>
      </c>
      <c r="E32" s="47">
        <f>SUM(E5:E29)</f>
        <v>34921</v>
      </c>
      <c r="H32"/>
      <c r="I32" s="7"/>
      <c r="J32" s="7"/>
      <c r="L32"/>
      <c r="M32"/>
      <c r="N32" s="7"/>
      <c r="O32" s="7"/>
      <c r="Q32"/>
      <c r="R32" s="46" t="s">
        <v>191</v>
      </c>
      <c r="S32" s="44">
        <f>SUM(S30:S31)</f>
        <v>5</v>
      </c>
      <c r="T32" s="44">
        <f>SUM(T30:T31)</f>
        <v>265</v>
      </c>
    </row>
    <row r="33" spans="2:20" ht="18.5" x14ac:dyDescent="0.45">
      <c r="G33"/>
      <c r="H33" s="30" t="s">
        <v>194</v>
      </c>
      <c r="I33" s="30">
        <f>+I18+I22+I26+I30</f>
        <v>12</v>
      </c>
      <c r="J33" s="30">
        <f>+J18+J22+J26+J30</f>
        <v>1980</v>
      </c>
      <c r="L33" s="6"/>
      <c r="M33" s="62" t="s">
        <v>355</v>
      </c>
      <c r="N33" s="63" t="s">
        <v>198</v>
      </c>
      <c r="O33" s="63" t="s">
        <v>180</v>
      </c>
    </row>
    <row r="34" spans="2:20" x14ac:dyDescent="0.35">
      <c r="G34"/>
      <c r="M34" s="54" t="s">
        <v>352</v>
      </c>
      <c r="N34" s="55">
        <v>2</v>
      </c>
      <c r="O34" s="55">
        <v>90</v>
      </c>
    </row>
    <row r="35" spans="2:20" ht="19" thickBot="1" x14ac:dyDescent="0.5">
      <c r="G35"/>
      <c r="M35" s="46" t="s">
        <v>191</v>
      </c>
      <c r="N35" s="44">
        <f>SUM(N34:N34)</f>
        <v>2</v>
      </c>
      <c r="O35" s="44">
        <f>SUM(O34:O34)</f>
        <v>90</v>
      </c>
      <c r="R35" s="30" t="s">
        <v>194</v>
      </c>
      <c r="S35" s="30">
        <f>+S19+S23+S27+S32</f>
        <v>11</v>
      </c>
      <c r="T35" s="30">
        <f>+T19+T23+T27+T32</f>
        <v>1611</v>
      </c>
    </row>
    <row r="36" spans="2:20" ht="21.5" thickBot="1" x14ac:dyDescent="0.55000000000000004">
      <c r="C36" s="112" t="s">
        <v>364</v>
      </c>
      <c r="D36" s="124"/>
      <c r="E36" s="125"/>
      <c r="G36"/>
      <c r="N36" s="7"/>
      <c r="O36" s="7"/>
    </row>
    <row r="37" spans="2:20" s="6" customFormat="1" x14ac:dyDescent="0.35">
      <c r="B37"/>
      <c r="C37"/>
      <c r="D37" s="7"/>
      <c r="E37" s="7"/>
      <c r="L37"/>
      <c r="M37" s="62" t="s">
        <v>356</v>
      </c>
      <c r="N37" s="63" t="s">
        <v>198</v>
      </c>
      <c r="O37" s="63" t="s">
        <v>180</v>
      </c>
      <c r="Q37"/>
      <c r="R37"/>
      <c r="S37"/>
      <c r="T37"/>
    </row>
    <row r="38" spans="2:20" x14ac:dyDescent="0.35">
      <c r="B38" s="6"/>
      <c r="C38" s="62" t="s">
        <v>348</v>
      </c>
      <c r="D38" s="63" t="s">
        <v>198</v>
      </c>
      <c r="E38" s="63" t="s">
        <v>180</v>
      </c>
      <c r="G38"/>
      <c r="M38" s="54" t="s">
        <v>358</v>
      </c>
      <c r="N38" s="55">
        <v>4</v>
      </c>
      <c r="O38" s="55">
        <v>225</v>
      </c>
    </row>
    <row r="39" spans="2:20" ht="15.5" x14ac:dyDescent="0.35">
      <c r="C39" s="42" t="s">
        <v>304</v>
      </c>
      <c r="D39" s="45">
        <v>2</v>
      </c>
      <c r="E39" s="45">
        <v>2400</v>
      </c>
      <c r="G39"/>
      <c r="M39" s="46" t="s">
        <v>191</v>
      </c>
      <c r="N39" s="44">
        <f>SUM(N38:N38)</f>
        <v>4</v>
      </c>
      <c r="O39" s="44">
        <f>SUM(O38:O38)</f>
        <v>225</v>
      </c>
      <c r="Q39" s="6"/>
    </row>
    <row r="40" spans="2:20" x14ac:dyDescent="0.35">
      <c r="C40" s="42" t="s">
        <v>606</v>
      </c>
      <c r="D40" s="45">
        <v>5</v>
      </c>
      <c r="E40" s="45">
        <v>2016</v>
      </c>
      <c r="G40"/>
    </row>
    <row r="41" spans="2:20" ht="15.5" x14ac:dyDescent="0.35">
      <c r="C41" s="46" t="s">
        <v>191</v>
      </c>
      <c r="D41" s="44">
        <f>SUM(D39:D40)</f>
        <v>7</v>
      </c>
      <c r="E41" s="44">
        <f>SUM(E39:E40)</f>
        <v>4416</v>
      </c>
      <c r="G41"/>
      <c r="L41" s="6"/>
    </row>
    <row r="42" spans="2:20" s="6" customFormat="1" ht="18.5" x14ac:dyDescent="0.45">
      <c r="C42"/>
      <c r="D42" s="7"/>
      <c r="E42" s="7"/>
      <c r="L42"/>
      <c r="M42" s="30" t="s">
        <v>194</v>
      </c>
      <c r="N42" s="30">
        <f>N21+N26+N31+N35+N39</f>
        <v>28</v>
      </c>
      <c r="O42" s="30">
        <f>O21+O26+O31+O35+O39</f>
        <v>7894</v>
      </c>
      <c r="Q42"/>
      <c r="R42"/>
      <c r="S42"/>
      <c r="T42"/>
    </row>
    <row r="43" spans="2:20" x14ac:dyDescent="0.35">
      <c r="C43" s="62" t="s">
        <v>349</v>
      </c>
      <c r="D43" s="63" t="s">
        <v>198</v>
      </c>
      <c r="E43" s="63" t="s">
        <v>180</v>
      </c>
      <c r="G43"/>
    </row>
    <row r="44" spans="2:20" x14ac:dyDescent="0.35">
      <c r="C44" s="54" t="s">
        <v>276</v>
      </c>
      <c r="D44" s="55">
        <v>12</v>
      </c>
      <c r="E44" s="55">
        <v>759</v>
      </c>
      <c r="G44"/>
    </row>
    <row r="45" spans="2:20" x14ac:dyDescent="0.35">
      <c r="C45" s="2" t="s">
        <v>297</v>
      </c>
      <c r="D45" s="45">
        <v>5</v>
      </c>
      <c r="E45" s="45">
        <v>415</v>
      </c>
      <c r="G45"/>
    </row>
    <row r="46" spans="2:20" ht="15.5" x14ac:dyDescent="0.35">
      <c r="C46" s="46" t="s">
        <v>191</v>
      </c>
      <c r="D46" s="44">
        <f>SUM(D44:D45)</f>
        <v>17</v>
      </c>
      <c r="E46" s="44">
        <f>SUM(E44:E45)</f>
        <v>1174</v>
      </c>
      <c r="G46"/>
    </row>
    <row r="47" spans="2:20" x14ac:dyDescent="0.35">
      <c r="B47" s="6"/>
      <c r="C47"/>
      <c r="G47"/>
    </row>
    <row r="48" spans="2:20" x14ac:dyDescent="0.35">
      <c r="C48" s="62" t="s">
        <v>350</v>
      </c>
      <c r="D48" s="63" t="s">
        <v>198</v>
      </c>
      <c r="E48" s="63" t="s">
        <v>180</v>
      </c>
      <c r="G48"/>
    </row>
    <row r="49" spans="2:20" x14ac:dyDescent="0.35">
      <c r="C49" s="54" t="s">
        <v>332</v>
      </c>
      <c r="D49" s="55">
        <v>15</v>
      </c>
      <c r="E49" s="55">
        <v>16565</v>
      </c>
      <c r="G49"/>
    </row>
    <row r="50" spans="2:20" s="6" customFormat="1" x14ac:dyDescent="0.35">
      <c r="B50"/>
      <c r="C50" s="2" t="s">
        <v>351</v>
      </c>
      <c r="D50" s="45">
        <v>21</v>
      </c>
      <c r="E50" s="45">
        <v>2938</v>
      </c>
      <c r="H50" s="7"/>
      <c r="I50" s="7"/>
      <c r="J50"/>
      <c r="L50"/>
      <c r="M50"/>
      <c r="N50"/>
      <c r="O50"/>
      <c r="Q50"/>
      <c r="R50"/>
      <c r="S50"/>
      <c r="T50"/>
    </row>
    <row r="51" spans="2:20" ht="15.5" x14ac:dyDescent="0.35">
      <c r="C51" s="46" t="s">
        <v>191</v>
      </c>
      <c r="D51" s="44">
        <f>SUM(D49:D50)</f>
        <v>36</v>
      </c>
      <c r="E51" s="44">
        <f>SUM(E49:E50)</f>
        <v>19503</v>
      </c>
      <c r="G51"/>
    </row>
    <row r="52" spans="2:20" x14ac:dyDescent="0.35">
      <c r="B52" s="6"/>
      <c r="C52"/>
      <c r="G52"/>
    </row>
    <row r="53" spans="2:20" x14ac:dyDescent="0.35">
      <c r="C53" s="62" t="s">
        <v>355</v>
      </c>
      <c r="D53" s="63" t="s">
        <v>198</v>
      </c>
      <c r="E53" s="63" t="s">
        <v>180</v>
      </c>
      <c r="G53"/>
    </row>
    <row r="54" spans="2:20" x14ac:dyDescent="0.35">
      <c r="C54" s="54" t="s">
        <v>346</v>
      </c>
      <c r="D54" s="55">
        <v>6</v>
      </c>
      <c r="E54" s="55">
        <v>261</v>
      </c>
      <c r="G54"/>
    </row>
    <row r="55" spans="2:20" x14ac:dyDescent="0.35">
      <c r="C55" s="54" t="s">
        <v>345</v>
      </c>
      <c r="D55" s="55">
        <v>1</v>
      </c>
      <c r="E55" s="55">
        <v>85</v>
      </c>
      <c r="G55"/>
    </row>
    <row r="56" spans="2:20" x14ac:dyDescent="0.35">
      <c r="C56" s="54" t="s">
        <v>354</v>
      </c>
      <c r="D56" s="55">
        <v>2</v>
      </c>
      <c r="E56" s="55">
        <v>133</v>
      </c>
      <c r="G56"/>
    </row>
    <row r="57" spans="2:20" x14ac:dyDescent="0.35">
      <c r="C57" s="54" t="s">
        <v>352</v>
      </c>
      <c r="D57" s="55">
        <v>20</v>
      </c>
      <c r="E57" s="55">
        <v>1286</v>
      </c>
      <c r="G57"/>
    </row>
    <row r="58" spans="2:20" x14ac:dyDescent="0.35">
      <c r="C58" s="2" t="s">
        <v>353</v>
      </c>
      <c r="D58" s="45">
        <v>8</v>
      </c>
      <c r="E58" s="45">
        <v>498</v>
      </c>
      <c r="G58"/>
    </row>
    <row r="59" spans="2:20" ht="15.5" x14ac:dyDescent="0.35">
      <c r="C59" s="46" t="s">
        <v>191</v>
      </c>
      <c r="D59" s="44">
        <f>SUM(D54:D58)</f>
        <v>37</v>
      </c>
      <c r="E59" s="44">
        <f>SUM(E54:E58)</f>
        <v>2263</v>
      </c>
      <c r="G59"/>
    </row>
    <row r="60" spans="2:20" x14ac:dyDescent="0.35">
      <c r="B60" s="6"/>
      <c r="C60"/>
    </row>
    <row r="61" spans="2:20" x14ac:dyDescent="0.35">
      <c r="C61" s="62" t="s">
        <v>356</v>
      </c>
      <c r="D61" s="63" t="s">
        <v>198</v>
      </c>
      <c r="E61" s="63" t="s">
        <v>180</v>
      </c>
    </row>
    <row r="62" spans="2:20" x14ac:dyDescent="0.35">
      <c r="C62" s="54" t="s">
        <v>607</v>
      </c>
      <c r="D62" s="55">
        <v>34</v>
      </c>
      <c r="E62" s="55">
        <v>2640</v>
      </c>
    </row>
    <row r="63" spans="2:20" x14ac:dyDescent="0.35">
      <c r="C63" s="54" t="s">
        <v>329</v>
      </c>
      <c r="D63" s="55">
        <v>7</v>
      </c>
      <c r="E63" s="55">
        <v>587</v>
      </c>
    </row>
    <row r="64" spans="2:20" x14ac:dyDescent="0.35">
      <c r="C64" s="54" t="s">
        <v>404</v>
      </c>
      <c r="D64" s="55">
        <v>1</v>
      </c>
      <c r="E64" s="55">
        <v>370</v>
      </c>
    </row>
    <row r="65" spans="3:5" x14ac:dyDescent="0.35">
      <c r="C65" s="54" t="s">
        <v>421</v>
      </c>
      <c r="D65" s="55">
        <v>2</v>
      </c>
      <c r="E65" s="55">
        <v>360</v>
      </c>
    </row>
    <row r="66" spans="3:5" x14ac:dyDescent="0.35">
      <c r="C66" s="54" t="s">
        <v>436</v>
      </c>
      <c r="D66" s="55">
        <v>3</v>
      </c>
      <c r="E66" s="55">
        <v>1500</v>
      </c>
    </row>
    <row r="67" spans="3:5" x14ac:dyDescent="0.35">
      <c r="C67" s="54" t="s">
        <v>448</v>
      </c>
      <c r="D67" s="55">
        <v>3</v>
      </c>
      <c r="E67" s="55">
        <v>122</v>
      </c>
    </row>
    <row r="68" spans="3:5" x14ac:dyDescent="0.35">
      <c r="C68" s="54" t="s">
        <v>260</v>
      </c>
      <c r="D68" s="55">
        <v>9</v>
      </c>
      <c r="E68" s="55">
        <v>386</v>
      </c>
    </row>
    <row r="69" spans="3:5" x14ac:dyDescent="0.35">
      <c r="C69" s="54" t="s">
        <v>447</v>
      </c>
      <c r="D69" s="55">
        <v>7</v>
      </c>
      <c r="E69" s="55">
        <v>271</v>
      </c>
    </row>
    <row r="70" spans="3:5" x14ac:dyDescent="0.35">
      <c r="C70" s="54" t="s">
        <v>489</v>
      </c>
      <c r="D70" s="55">
        <v>1</v>
      </c>
      <c r="E70" s="55">
        <v>100</v>
      </c>
    </row>
    <row r="71" spans="3:5" x14ac:dyDescent="0.35">
      <c r="C71" s="54" t="s">
        <v>604</v>
      </c>
      <c r="D71" s="55">
        <v>1</v>
      </c>
      <c r="E71" s="55">
        <v>100</v>
      </c>
    </row>
    <row r="72" spans="3:5" x14ac:dyDescent="0.35">
      <c r="C72" s="54" t="s">
        <v>335</v>
      </c>
      <c r="D72" s="55">
        <v>3</v>
      </c>
      <c r="E72" s="55">
        <v>94</v>
      </c>
    </row>
    <row r="73" spans="3:5" x14ac:dyDescent="0.35">
      <c r="C73" s="54" t="s">
        <v>569</v>
      </c>
      <c r="D73" s="55">
        <v>8</v>
      </c>
      <c r="E73" s="55">
        <v>386</v>
      </c>
    </row>
    <row r="74" spans="3:5" x14ac:dyDescent="0.35">
      <c r="C74" s="54" t="s">
        <v>580</v>
      </c>
      <c r="D74" s="55">
        <v>1</v>
      </c>
      <c r="E74" s="55">
        <v>100</v>
      </c>
    </row>
    <row r="75" spans="3:5" x14ac:dyDescent="0.35">
      <c r="C75" s="54" t="s">
        <v>358</v>
      </c>
      <c r="D75" s="55">
        <v>5</v>
      </c>
      <c r="E75" s="55">
        <v>549</v>
      </c>
    </row>
    <row r="76" spans="3:5" ht="15.5" x14ac:dyDescent="0.35">
      <c r="C76" s="46" t="s">
        <v>191</v>
      </c>
      <c r="D76" s="44">
        <f>SUM(D62:D75)</f>
        <v>85</v>
      </c>
      <c r="E76" s="44">
        <f>SUM(E62:E75)</f>
        <v>7565</v>
      </c>
    </row>
    <row r="77" spans="3:5" x14ac:dyDescent="0.35">
      <c r="C77"/>
    </row>
    <row r="78" spans="3:5" x14ac:dyDescent="0.35">
      <c r="C78"/>
    </row>
    <row r="79" spans="3:5" ht="18.5" x14ac:dyDescent="0.45">
      <c r="C79" s="30" t="s">
        <v>194</v>
      </c>
      <c r="D79" s="30">
        <f>D41+D46+D51+D59+D76</f>
        <v>182</v>
      </c>
      <c r="E79" s="30">
        <f>E41+E46+E51+E59+E76</f>
        <v>34921</v>
      </c>
    </row>
    <row r="1048507" spans="3:3" x14ac:dyDescent="0.35">
      <c r="C1048507" s="14" t="s">
        <v>199</v>
      </c>
    </row>
  </sheetData>
  <mergeCells count="12">
    <mergeCell ref="B32:C32"/>
    <mergeCell ref="C36:E36"/>
    <mergeCell ref="R15:T15"/>
    <mergeCell ref="L2:O2"/>
    <mergeCell ref="L13:M13"/>
    <mergeCell ref="M17:O17"/>
    <mergeCell ref="Q2:T2"/>
    <mergeCell ref="Q11:R11"/>
    <mergeCell ref="B2:E2"/>
    <mergeCell ref="G2:J2"/>
    <mergeCell ref="G10:H10"/>
    <mergeCell ref="H14:J14"/>
  </mergeCells>
  <pageMargins left="0.7" right="0.7" top="0.75" bottom="0.75" header="0.3" footer="0.3"/>
  <tableParts count="2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0EAF-A99E-40C0-9F50-72FA849D9F9B}">
  <dimension ref="B1:Q217"/>
  <sheetViews>
    <sheetView showGridLines="0" tabSelected="1" zoomScale="61" zoomScaleNormal="5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J9" sqref="J9"/>
    </sheetView>
  </sheetViews>
  <sheetFormatPr defaultRowHeight="21" x14ac:dyDescent="0.5"/>
  <cols>
    <col min="2" max="2" width="9" style="7" bestFit="1" customWidth="1"/>
    <col min="3" max="3" width="28.26953125" bestFit="1" customWidth="1"/>
    <col min="4" max="4" width="19.54296875" bestFit="1" customWidth="1"/>
    <col min="5" max="5" width="15.90625" bestFit="1" customWidth="1"/>
    <col min="6" max="6" width="30.54296875" customWidth="1"/>
    <col min="7" max="7" width="13.90625" bestFit="1" customWidth="1"/>
    <col min="8" max="8" width="27" style="1" bestFit="1" customWidth="1"/>
    <col min="10" max="10" width="7.54296875" style="59" bestFit="1" customWidth="1"/>
    <col min="12" max="13" width="28.453125" bestFit="1" customWidth="1"/>
    <col min="14" max="14" width="8.26953125" style="7" bestFit="1" customWidth="1"/>
    <col min="16" max="16" width="38.26953125" bestFit="1" customWidth="1"/>
    <col min="17" max="17" width="4.453125" bestFit="1" customWidth="1"/>
  </cols>
  <sheetData>
    <row r="1" spans="2:17" ht="21.5" thickBot="1" x14ac:dyDescent="0.55000000000000004"/>
    <row r="2" spans="2:17" ht="21.5" thickBot="1" x14ac:dyDescent="0.55000000000000004">
      <c r="B2" s="109" t="s">
        <v>200</v>
      </c>
      <c r="C2" s="110"/>
      <c r="D2" s="110"/>
      <c r="E2" s="110"/>
      <c r="F2" s="110"/>
      <c r="G2" s="110"/>
      <c r="H2" s="111"/>
      <c r="J2" s="106" t="s">
        <v>205</v>
      </c>
      <c r="L2" s="112" t="s">
        <v>611</v>
      </c>
      <c r="M2" s="113"/>
      <c r="N2" s="114"/>
      <c r="P2" s="112" t="s">
        <v>614</v>
      </c>
      <c r="Q2" s="115"/>
    </row>
    <row r="3" spans="2:17" ht="21.5" thickBot="1" x14ac:dyDescent="0.55000000000000004">
      <c r="J3" s="61">
        <f>SUM(Table11[Kuantitas program])</f>
        <v>213</v>
      </c>
    </row>
    <row r="4" spans="2:17" s="6" customFormat="1" ht="14.5" x14ac:dyDescent="0.35">
      <c r="B4" s="103" t="s">
        <v>28</v>
      </c>
      <c r="C4" s="104" t="s">
        <v>29</v>
      </c>
      <c r="D4" s="104" t="s">
        <v>30</v>
      </c>
      <c r="E4" s="104" t="s">
        <v>201</v>
      </c>
      <c r="F4" s="104" t="s">
        <v>31</v>
      </c>
      <c r="G4" s="104" t="s">
        <v>202</v>
      </c>
      <c r="H4" s="105" t="s">
        <v>203</v>
      </c>
      <c r="L4" s="6" t="s">
        <v>610</v>
      </c>
      <c r="M4" s="48" t="s">
        <v>608</v>
      </c>
      <c r="N4" s="58" t="s">
        <v>609</v>
      </c>
      <c r="O4" s="107"/>
      <c r="P4" s="108" t="s">
        <v>612</v>
      </c>
      <c r="Q4" s="108" t="s">
        <v>613</v>
      </c>
    </row>
    <row r="5" spans="2:17" x14ac:dyDescent="0.5">
      <c r="B5" s="45">
        <f>IF(Table11[[#This Row],[Kelurahan]]="","",ROW(I1))</f>
        <v>1</v>
      </c>
      <c r="C5" s="53" t="s">
        <v>99</v>
      </c>
      <c r="D5" s="53" t="str">
        <f>INDEX(Table2[Kecamatan],MATCH(Table11[[#This Row],[Kelurahan]],Table2[Kelurahan],0))</f>
        <v>Kertapati</v>
      </c>
      <c r="E5" s="53" t="str">
        <f>INDEX(Table2[Kabupaten/Kota],MATCH(Table11[[#This Row],[Kecamatan]],Table2[Kecamatan],0))</f>
        <v>Palembang</v>
      </c>
      <c r="F5" s="53" t="str">
        <f>INDEX(Table2[Provinsi],MATCH(Table11[[#This Row],[Kab/Kota]],Table2[Kabupaten/Kota],0))</f>
        <v>Sumatera Selatan</v>
      </c>
      <c r="G5" s="2" t="s">
        <v>204</v>
      </c>
      <c r="H5" s="58">
        <v>46</v>
      </c>
      <c r="L5" t="s">
        <v>38</v>
      </c>
      <c r="M5" s="42" t="s">
        <v>38</v>
      </c>
      <c r="N5" s="45">
        <f>COUNTIF(L5:L217,M5)</f>
        <v>2</v>
      </c>
      <c r="P5" s="87" t="s">
        <v>370</v>
      </c>
      <c r="Q5" s="44">
        <v>220</v>
      </c>
    </row>
    <row r="6" spans="2:17" x14ac:dyDescent="0.5">
      <c r="B6" s="45">
        <f>IF(Table11[[#This Row],[Kelurahan]]="","",ROW(I2))</f>
        <v>2</v>
      </c>
      <c r="C6" s="53" t="s">
        <v>96</v>
      </c>
      <c r="D6" s="53" t="str">
        <f>INDEX(Table2[Kecamatan],MATCH(Table11[[#This Row],[Kelurahan]],Table2[Kelurahan],0))</f>
        <v>Kertapati</v>
      </c>
      <c r="E6" s="53" t="str">
        <f>INDEX(Table2[Kabupaten/Kota],MATCH(Table11[[#This Row],[Kecamatan]],Table2[Kecamatan],0))</f>
        <v>Palembang</v>
      </c>
      <c r="F6" s="53" t="str">
        <f>INDEX(Table2[Provinsi],MATCH(Table11[[#This Row],[Kab/Kota]],Table2[Kabupaten/Kota],0))</f>
        <v>Sumatera Selatan</v>
      </c>
      <c r="G6" s="2" t="s">
        <v>204</v>
      </c>
      <c r="H6" s="58">
        <v>21</v>
      </c>
      <c r="L6" t="s">
        <v>38</v>
      </c>
      <c r="M6" s="2" t="s">
        <v>54</v>
      </c>
      <c r="N6" s="45">
        <f t="shared" ref="N6:N53" si="0">COUNTIF($L$5:$L$217,M6)</f>
        <v>1</v>
      </c>
      <c r="P6" s="87" t="s">
        <v>583</v>
      </c>
      <c r="Q6" s="44">
        <v>90</v>
      </c>
    </row>
    <row r="7" spans="2:17" x14ac:dyDescent="0.5">
      <c r="B7" s="45">
        <f>IF(Table11[[#This Row],[Kelurahan]]="","",ROW(I3))</f>
        <v>3</v>
      </c>
      <c r="C7" s="53" t="s">
        <v>316</v>
      </c>
      <c r="D7" s="53" t="str">
        <f>INDEX(Table2[Kecamatan],MATCH(Table11[[#This Row],[Kelurahan]],Table2[Kelurahan],0))</f>
        <v>Kejuruan Muda</v>
      </c>
      <c r="E7" s="53" t="str">
        <f>INDEX(Table2[Kabupaten/Kota],MATCH(Table11[[#This Row],[Kecamatan]],Table2[Kecamatan],0))</f>
        <v>Aceh Tamiang</v>
      </c>
      <c r="F7" s="53" t="str">
        <f>INDEX(Table2[Provinsi],MATCH(Table11[[#This Row],[Kab/Kota]],Table2[Kabupaten/Kota],0))</f>
        <v>Nangroe Aceh Darussalam</v>
      </c>
      <c r="G7" s="2" t="s">
        <v>204</v>
      </c>
      <c r="H7" s="58">
        <v>19</v>
      </c>
      <c r="L7" t="s">
        <v>54</v>
      </c>
      <c r="M7" s="2" t="s">
        <v>82</v>
      </c>
      <c r="N7" s="45">
        <f t="shared" si="0"/>
        <v>4</v>
      </c>
      <c r="P7" s="87" t="s">
        <v>471</v>
      </c>
      <c r="Q7" s="44">
        <v>44</v>
      </c>
    </row>
    <row r="8" spans="2:17" x14ac:dyDescent="0.5">
      <c r="B8" s="45">
        <f>IF(Table11[[#This Row],[Kelurahan]]="","",ROW(I4))</f>
        <v>4</v>
      </c>
      <c r="C8" s="53" t="s">
        <v>47</v>
      </c>
      <c r="D8" s="53" t="str">
        <f>INDEX(Table2[Kecamatan],MATCH(Table11[[#This Row],[Kelurahan]],Table2[Kelurahan],0))</f>
        <v>Ilir Barat I</v>
      </c>
      <c r="E8" s="53" t="str">
        <f>INDEX(Table2[Kabupaten/Kota],MATCH(Table11[[#This Row],[Kecamatan]],Table2[Kecamatan],0))</f>
        <v>Palembang</v>
      </c>
      <c r="F8" s="53" t="str">
        <f>INDEX(Table2[Provinsi],MATCH(Table11[[#This Row],[Kab/Kota]],Table2[Kabupaten/Kota],0))</f>
        <v>Sumatera Selatan</v>
      </c>
      <c r="G8" s="2" t="s">
        <v>204</v>
      </c>
      <c r="H8" s="58">
        <v>14</v>
      </c>
      <c r="L8" t="s">
        <v>82</v>
      </c>
      <c r="M8" s="2" t="s">
        <v>576</v>
      </c>
      <c r="N8" s="45">
        <f t="shared" si="0"/>
        <v>1</v>
      </c>
      <c r="P8" s="87" t="s">
        <v>242</v>
      </c>
      <c r="Q8" s="44">
        <v>51</v>
      </c>
    </row>
    <row r="9" spans="2:17" x14ac:dyDescent="0.5">
      <c r="B9" s="45">
        <f>IF(Table11[[#This Row],[Kelurahan]]="","",ROW(I5))</f>
        <v>5</v>
      </c>
      <c r="C9" s="53" t="s">
        <v>336</v>
      </c>
      <c r="D9" s="53" t="str">
        <f>INDEX(Table2[Kecamatan],MATCH(Table11[[#This Row],[Kelurahan]],Table2[Kelurahan],0))</f>
        <v>Karang baru</v>
      </c>
      <c r="E9" s="53" t="str">
        <f>INDEX(Table2[Kabupaten/Kota],MATCH(Table11[[#This Row],[Kecamatan]],Table2[Kecamatan],0))</f>
        <v>Aceh Tamiang</v>
      </c>
      <c r="F9" s="53" t="str">
        <f>INDEX(Table2[Provinsi],MATCH(Table11[[#This Row],[Kab/Kota]],Table2[Kabupaten/Kota],0))</f>
        <v>Nangroe Aceh Darussalam</v>
      </c>
      <c r="G9" s="2" t="s">
        <v>204</v>
      </c>
      <c r="H9" s="58">
        <v>11</v>
      </c>
      <c r="L9" t="s">
        <v>82</v>
      </c>
      <c r="M9" s="2" t="s">
        <v>514</v>
      </c>
      <c r="N9" s="45">
        <f t="shared" si="0"/>
        <v>1</v>
      </c>
      <c r="P9" s="87" t="s">
        <v>100</v>
      </c>
      <c r="Q9" s="44">
        <v>100</v>
      </c>
    </row>
    <row r="10" spans="2:17" x14ac:dyDescent="0.5">
      <c r="B10" s="45">
        <f>IF(Table11[[#This Row],[Kelurahan]]="","",ROW(I6))</f>
        <v>6</v>
      </c>
      <c r="C10" s="53" t="s">
        <v>410</v>
      </c>
      <c r="D10" s="53" t="str">
        <f>INDEX(Table2[Kecamatan],MATCH(Table11[[#This Row],[Kelurahan]],Table2[Kelurahan],0))</f>
        <v>Rantau</v>
      </c>
      <c r="E10" s="53" t="str">
        <f>INDEX(Table2[Kabupaten/Kota],MATCH(Table11[[#This Row],[Kecamatan]],Table2[Kecamatan],0))</f>
        <v>Aceh Tamiang</v>
      </c>
      <c r="F10" s="53" t="str">
        <f>INDEX(Table2[Provinsi],MATCH(Table11[[#This Row],[Kab/Kota]],Table2[Kabupaten/Kota],0))</f>
        <v>Nangroe Aceh Darussalam</v>
      </c>
      <c r="G10" s="2" t="s">
        <v>204</v>
      </c>
      <c r="H10" s="58">
        <v>8</v>
      </c>
      <c r="L10" t="s">
        <v>82</v>
      </c>
      <c r="M10" s="2" t="s">
        <v>573</v>
      </c>
      <c r="N10" s="45">
        <f t="shared" si="0"/>
        <v>1</v>
      </c>
      <c r="P10" s="87" t="s">
        <v>585</v>
      </c>
      <c r="Q10" s="44">
        <v>200</v>
      </c>
    </row>
    <row r="11" spans="2:17" x14ac:dyDescent="0.5">
      <c r="B11" s="45">
        <f>IF(Table11[[#This Row],[Kelurahan]]="","",ROW(I7))</f>
        <v>7</v>
      </c>
      <c r="C11" s="53" t="s">
        <v>456</v>
      </c>
      <c r="D11" s="53" t="str">
        <f>INDEX(Table2[Kecamatan],MATCH(Table11[[#This Row],[Kelurahan]],Table2[Kelurahan],0))</f>
        <v>Sekerak</v>
      </c>
      <c r="E11" s="53" t="str">
        <f>INDEX(Table2[Kabupaten/Kota],MATCH(Table11[[#This Row],[Kecamatan]],Table2[Kecamatan],0))</f>
        <v>Aceh Tamiang</v>
      </c>
      <c r="F11" s="53" t="str">
        <f>INDEX(Table2[Provinsi],MATCH(Table11[[#This Row],[Kab/Kota]],Table2[Kabupaten/Kota],0))</f>
        <v>Nangroe Aceh Darussalam</v>
      </c>
      <c r="G11" s="2" t="s">
        <v>204</v>
      </c>
      <c r="H11" s="58">
        <v>8</v>
      </c>
      <c r="L11" t="s">
        <v>82</v>
      </c>
      <c r="M11" s="2" t="s">
        <v>319</v>
      </c>
      <c r="N11" s="45">
        <f t="shared" si="0"/>
        <v>2</v>
      </c>
      <c r="P11" s="87" t="s">
        <v>536</v>
      </c>
      <c r="Q11" s="44">
        <v>75</v>
      </c>
    </row>
    <row r="12" spans="2:17" x14ac:dyDescent="0.5">
      <c r="B12" s="45">
        <f>IF(Table11[[#This Row],[Kelurahan]]="","",ROW(I8))</f>
        <v>8</v>
      </c>
      <c r="C12" s="53" t="s">
        <v>443</v>
      </c>
      <c r="D12" s="53" t="str">
        <f>INDEX(Table2[Kecamatan],MATCH(Table11[[#This Row],[Kelurahan]],Table2[Kelurahan],0))</f>
        <v>Serba Jadi</v>
      </c>
      <c r="E12" s="53" t="str">
        <f>INDEX(Table2[Kabupaten/Kota],MATCH(Table11[[#This Row],[Kecamatan]],Table2[Kecamatan],0))</f>
        <v>Aceh Timur</v>
      </c>
      <c r="F12" s="53" t="str">
        <f>INDEX(Table2[Provinsi],MATCH(Table11[[#This Row],[Kab/Kota]],Table2[Kabupaten/Kota],0))</f>
        <v>Nangroe Aceh Darussalam</v>
      </c>
      <c r="G12" s="2" t="s">
        <v>204</v>
      </c>
      <c r="H12" s="58">
        <v>6</v>
      </c>
      <c r="L12" t="s">
        <v>576</v>
      </c>
      <c r="M12" s="2" t="s">
        <v>601</v>
      </c>
      <c r="N12" s="45">
        <f t="shared" si="0"/>
        <v>1</v>
      </c>
      <c r="P12" s="87" t="s">
        <v>533</v>
      </c>
      <c r="Q12" s="44">
        <v>110</v>
      </c>
    </row>
    <row r="13" spans="2:17" x14ac:dyDescent="0.5">
      <c r="B13" s="45">
        <f>IF(Table11[[#This Row],[Kelurahan]]="","",ROW(I9))</f>
        <v>9</v>
      </c>
      <c r="C13" s="53" t="s">
        <v>446</v>
      </c>
      <c r="D13" s="53" t="str">
        <f>INDEX(Table2[Kecamatan],MATCH(Table11[[#This Row],[Kelurahan]],Table2[Kelurahan],0))</f>
        <v>Serba Jadi</v>
      </c>
      <c r="E13" s="53" t="str">
        <f>INDEX(Table2[Kabupaten/Kota],MATCH(Table11[[#This Row],[Kecamatan]],Table2[Kecamatan],0))</f>
        <v>Aceh Timur</v>
      </c>
      <c r="F13" s="53" t="str">
        <f>INDEX(Table2[Provinsi],MATCH(Table11[[#This Row],[Kab/Kota]],Table2[Kabupaten/Kota],0))</f>
        <v>Nangroe Aceh Darussalam</v>
      </c>
      <c r="G13" s="2" t="s">
        <v>204</v>
      </c>
      <c r="H13" s="58">
        <v>6</v>
      </c>
      <c r="L13" t="s">
        <v>514</v>
      </c>
      <c r="M13" s="2" t="s">
        <v>46</v>
      </c>
      <c r="N13" s="45">
        <f t="shared" si="0"/>
        <v>1</v>
      </c>
      <c r="P13" s="87" t="s">
        <v>530</v>
      </c>
      <c r="Q13" s="44">
        <v>98</v>
      </c>
    </row>
    <row r="14" spans="2:17" x14ac:dyDescent="0.5">
      <c r="B14" s="45">
        <f>IF(Table11[[#This Row],[Kelurahan]]="","",ROW(I10))</f>
        <v>10</v>
      </c>
      <c r="C14" s="53" t="s">
        <v>167</v>
      </c>
      <c r="D14" s="53" t="str">
        <f>INDEX(Table2[Kecamatan],MATCH(Table11[[#This Row],[Kelurahan]],Table2[Kelurahan],0))</f>
        <v>Talang Kelapa</v>
      </c>
      <c r="E14" s="53" t="str">
        <f>INDEX(Table2[Kabupaten/Kota],MATCH(Table11[[#This Row],[Kecamatan]],Table2[Kecamatan],0))</f>
        <v>Banyuasin</v>
      </c>
      <c r="F14" s="53" t="str">
        <f>INDEX(Table2[Provinsi],MATCH(Table11[[#This Row],[Kab/Kota]],Table2[Kabupaten/Kota],0))</f>
        <v>Sumatera Selatan</v>
      </c>
      <c r="G14" s="2" t="s">
        <v>204</v>
      </c>
      <c r="H14" s="58">
        <v>5</v>
      </c>
      <c r="L14" t="s">
        <v>573</v>
      </c>
      <c r="M14" s="2" t="s">
        <v>47</v>
      </c>
      <c r="N14" s="45">
        <f t="shared" si="0"/>
        <v>14</v>
      </c>
      <c r="P14" s="87" t="s">
        <v>566</v>
      </c>
      <c r="Q14" s="44">
        <v>40</v>
      </c>
    </row>
    <row r="15" spans="2:17" x14ac:dyDescent="0.5">
      <c r="B15" s="45">
        <f>IF(Table11[[#This Row],[Kelurahan]]="","",ROW(I11))</f>
        <v>11</v>
      </c>
      <c r="C15" s="53" t="s">
        <v>40</v>
      </c>
      <c r="D15" s="53" t="str">
        <f>INDEX(Table2[Kecamatan],MATCH(Table11[[#This Row],[Kelurahan]],Table2[Kelurahan],0))</f>
        <v>Bukit Kecil</v>
      </c>
      <c r="E15" s="53" t="str">
        <f>INDEX(Table2[Kabupaten/Kota],MATCH(Table11[[#This Row],[Kecamatan]],Table2[Kecamatan],0))</f>
        <v>Palembang</v>
      </c>
      <c r="F15" s="53" t="str">
        <f>INDEX(Table2[Provinsi],MATCH(Table11[[#This Row],[Kab/Kota]],Table2[Kabupaten/Kota],0))</f>
        <v>Sumatera Selatan</v>
      </c>
      <c r="G15" s="2" t="s">
        <v>204</v>
      </c>
      <c r="H15" s="58">
        <v>5</v>
      </c>
      <c r="L15" t="s">
        <v>319</v>
      </c>
      <c r="M15" s="66" t="s">
        <v>478</v>
      </c>
      <c r="N15" s="45">
        <f t="shared" si="0"/>
        <v>1</v>
      </c>
      <c r="P15" s="87" t="s">
        <v>376</v>
      </c>
      <c r="Q15" s="44">
        <v>45</v>
      </c>
    </row>
    <row r="16" spans="2:17" x14ac:dyDescent="0.5">
      <c r="B16" s="45">
        <f>IF(Table11[[#This Row],[Kelurahan]]="","",ROW(I12))</f>
        <v>12</v>
      </c>
      <c r="C16" s="53" t="s">
        <v>426</v>
      </c>
      <c r="D16" s="53" t="str">
        <f>INDEX(Table2[Kecamatan],MATCH(Table11[[#This Row],[Kelurahan]],Table2[Kelurahan],0))</f>
        <v>Karang baru</v>
      </c>
      <c r="E16" s="53" t="str">
        <f>INDEX(Table2[Kabupaten/Kota],MATCH(Table11[[#This Row],[Kecamatan]],Table2[Kecamatan],0))</f>
        <v>Aceh Tamiang</v>
      </c>
      <c r="F16" s="53" t="str">
        <f>INDEX(Table2[Provinsi],MATCH(Table11[[#This Row],[Kab/Kota]],Table2[Kabupaten/Kota],0))</f>
        <v>Nangroe Aceh Darussalam</v>
      </c>
      <c r="G16" s="2" t="s">
        <v>204</v>
      </c>
      <c r="H16" s="58">
        <v>4</v>
      </c>
      <c r="L16" t="s">
        <v>319</v>
      </c>
      <c r="M16" s="2" t="s">
        <v>331</v>
      </c>
      <c r="N16" s="45">
        <f t="shared" si="0"/>
        <v>3</v>
      </c>
      <c r="P16" s="87" t="s">
        <v>380</v>
      </c>
      <c r="Q16" s="44">
        <v>31</v>
      </c>
    </row>
    <row r="17" spans="2:17" x14ac:dyDescent="0.5">
      <c r="B17" s="45">
        <f>IF(Table11[[#This Row],[Kelurahan]]="","",ROW(I13))</f>
        <v>13</v>
      </c>
      <c r="C17" s="53" t="s">
        <v>82</v>
      </c>
      <c r="D17" s="53" t="str">
        <f>INDEX(Table2[Kecamatan],MATCH(Table11[[#This Row],[Kelurahan]],Table2[Kelurahan],0))</f>
        <v>Jakabaring</v>
      </c>
      <c r="E17" s="53" t="str">
        <f>INDEX(Table2[Kabupaten/Kota],MATCH(Table11[[#This Row],[Kecamatan]],Table2[Kecamatan],0))</f>
        <v>Palembang</v>
      </c>
      <c r="F17" s="53" t="str">
        <f>INDEX(Table2[Provinsi],MATCH(Table11[[#This Row],[Kab/Kota]],Table2[Kabupaten/Kota],0))</f>
        <v>Sumatera Selatan</v>
      </c>
      <c r="G17" s="2" t="s">
        <v>204</v>
      </c>
      <c r="H17" s="58">
        <v>4</v>
      </c>
      <c r="L17" t="s">
        <v>601</v>
      </c>
      <c r="M17" s="2" t="s">
        <v>33</v>
      </c>
      <c r="N17" s="45">
        <f t="shared" si="0"/>
        <v>1</v>
      </c>
      <c r="P17" s="87" t="s">
        <v>381</v>
      </c>
      <c r="Q17" s="44">
        <v>39</v>
      </c>
    </row>
    <row r="18" spans="2:17" x14ac:dyDescent="0.5">
      <c r="B18" s="45">
        <f>IF(Table11[[#This Row],[Kelurahan]]="","",ROW(I14))</f>
        <v>14</v>
      </c>
      <c r="C18" s="53" t="s">
        <v>417</v>
      </c>
      <c r="D18" s="53" t="str">
        <f>INDEX(Table2[Kecamatan],MATCH(Table11[[#This Row],[Kelurahan]],Table2[Kelurahan],0))</f>
        <v>Karang baru</v>
      </c>
      <c r="E18" s="53" t="str">
        <f>INDEX(Table2[Kabupaten/Kota],MATCH(Table11[[#This Row],[Kecamatan]],Table2[Kecamatan],0))</f>
        <v>Aceh Tamiang</v>
      </c>
      <c r="F18" s="53" t="str">
        <f>INDEX(Table2[Provinsi],MATCH(Table11[[#This Row],[Kab/Kota]],Table2[Kabupaten/Kota],0))</f>
        <v>Nangroe Aceh Darussalam</v>
      </c>
      <c r="G18" s="2" t="s">
        <v>204</v>
      </c>
      <c r="H18" s="58">
        <v>3</v>
      </c>
      <c r="L18" t="s">
        <v>46</v>
      </c>
      <c r="M18" s="2" t="s">
        <v>96</v>
      </c>
      <c r="N18" s="45">
        <f t="shared" si="0"/>
        <v>21</v>
      </c>
      <c r="P18" s="87" t="s">
        <v>463</v>
      </c>
      <c r="Q18" s="44">
        <v>150</v>
      </c>
    </row>
    <row r="19" spans="2:17" x14ac:dyDescent="0.5">
      <c r="B19" s="45">
        <f>IF(Table11[[#This Row],[Kelurahan]]="","",ROW(I15))</f>
        <v>15</v>
      </c>
      <c r="C19" s="53" t="s">
        <v>339</v>
      </c>
      <c r="D19" s="53" t="str">
        <f>INDEX(Table2[Kecamatan],MATCH(Table11[[#This Row],[Kelurahan]],Table2[Kelurahan],0))</f>
        <v>Karang baru</v>
      </c>
      <c r="E19" s="53" t="str">
        <f>INDEX(Table2[Kabupaten/Kota],MATCH(Table11[[#This Row],[Kecamatan]],Table2[Kecamatan],0))</f>
        <v>Aceh Tamiang</v>
      </c>
      <c r="F19" s="53" t="str">
        <f>INDEX(Table2[Provinsi],MATCH(Table11[[#This Row],[Kab/Kota]],Table2[Kabupaten/Kota],0))</f>
        <v>Nangroe Aceh Darussalam</v>
      </c>
      <c r="G19" s="2" t="s">
        <v>204</v>
      </c>
      <c r="H19" s="58">
        <v>3</v>
      </c>
      <c r="L19" t="s">
        <v>47</v>
      </c>
      <c r="M19" s="2" t="s">
        <v>129</v>
      </c>
      <c r="N19" s="45">
        <f t="shared" si="0"/>
        <v>1</v>
      </c>
      <c r="P19" s="87" t="s">
        <v>527</v>
      </c>
      <c r="Q19" s="44">
        <v>50</v>
      </c>
    </row>
    <row r="20" spans="2:17" x14ac:dyDescent="0.5">
      <c r="B20" s="45">
        <f>IF(Table11[[#This Row],[Kelurahan]]="","",ROW(I16))</f>
        <v>16</v>
      </c>
      <c r="C20" s="53" t="s">
        <v>430</v>
      </c>
      <c r="D20" s="53" t="str">
        <f>INDEX(Table2[Kecamatan],MATCH(Table11[[#This Row],[Kelurahan]],Table2[Kelurahan],0))</f>
        <v>Kejuruan Muda</v>
      </c>
      <c r="E20" s="53" t="str">
        <f>INDEX(Table2[Kabupaten/Kota],MATCH(Table11[[#This Row],[Kecamatan]],Table2[Kecamatan],0))</f>
        <v>Aceh Tamiang</v>
      </c>
      <c r="F20" s="53" t="str">
        <f>INDEX(Table2[Provinsi],MATCH(Table11[[#This Row],[Kab/Kota]],Table2[Kabupaten/Kota],0))</f>
        <v>Nangroe Aceh Darussalam</v>
      </c>
      <c r="G20" s="2" t="s">
        <v>204</v>
      </c>
      <c r="H20" s="58">
        <v>3</v>
      </c>
      <c r="L20" t="s">
        <v>47</v>
      </c>
      <c r="M20" s="2" t="s">
        <v>417</v>
      </c>
      <c r="N20" s="45">
        <f t="shared" si="0"/>
        <v>3</v>
      </c>
      <c r="P20" s="87" t="s">
        <v>547</v>
      </c>
      <c r="Q20" s="44">
        <v>43</v>
      </c>
    </row>
    <row r="21" spans="2:17" x14ac:dyDescent="0.5">
      <c r="B21" s="45">
        <f>IF(Table11[[#This Row],[Kelurahan]]="","",ROW(I17))</f>
        <v>17</v>
      </c>
      <c r="C21" s="53" t="s">
        <v>331</v>
      </c>
      <c r="D21" s="53" t="str">
        <f>INDEX(Table2[Kecamatan],MATCH(Table11[[#This Row],[Kelurahan]],Table2[Kelurahan],0))</f>
        <v>Rantau</v>
      </c>
      <c r="E21" s="53" t="str">
        <f>INDEX(Table2[Kabupaten/Kota],MATCH(Table11[[#This Row],[Kecamatan]],Table2[Kecamatan],0))</f>
        <v>Aceh Tamiang</v>
      </c>
      <c r="F21" s="53" t="str">
        <f>INDEX(Table2[Provinsi],MATCH(Table11[[#This Row],[Kab/Kota]],Table2[Kabupaten/Kota],0))</f>
        <v>Nangroe Aceh Darussalam</v>
      </c>
      <c r="G21" s="2" t="s">
        <v>204</v>
      </c>
      <c r="H21" s="58">
        <v>3</v>
      </c>
      <c r="L21" t="s">
        <v>47</v>
      </c>
      <c r="M21" s="2" t="s">
        <v>166</v>
      </c>
      <c r="N21" s="45">
        <f t="shared" si="0"/>
        <v>1</v>
      </c>
      <c r="P21" s="87" t="s">
        <v>537</v>
      </c>
      <c r="Q21" s="44">
        <v>40</v>
      </c>
    </row>
    <row r="22" spans="2:17" x14ac:dyDescent="0.5">
      <c r="B22" s="45">
        <f>IF(Table11[[#This Row],[Kelurahan]]="","",ROW(I18))</f>
        <v>18</v>
      </c>
      <c r="C22" s="53" t="s">
        <v>35</v>
      </c>
      <c r="D22" s="53" t="str">
        <f>INDEX(Table2[Kecamatan],MATCH(Table11[[#This Row],[Kelurahan]],Table2[Kelurahan],0))</f>
        <v>Alang-Alang Lebar</v>
      </c>
      <c r="E22" s="53" t="str">
        <f>INDEX(Table2[Kabupaten/Kota],MATCH(Table11[[#This Row],[Kecamatan]],Table2[Kecamatan],0))</f>
        <v>Palembang</v>
      </c>
      <c r="F22" s="53" t="str">
        <f>INDEX(Table2[Provinsi],MATCH(Table11[[#This Row],[Kab/Kota]],Table2[Kabupaten/Kota],0))</f>
        <v>Sumatera Selatan</v>
      </c>
      <c r="G22" s="2" t="s">
        <v>204</v>
      </c>
      <c r="H22" s="58">
        <v>3</v>
      </c>
      <c r="L22" t="s">
        <v>47</v>
      </c>
      <c r="M22" s="2" t="s">
        <v>167</v>
      </c>
      <c r="N22" s="45">
        <f t="shared" si="0"/>
        <v>5</v>
      </c>
      <c r="P22" s="87" t="s">
        <v>545</v>
      </c>
      <c r="Q22" s="44">
        <v>57</v>
      </c>
    </row>
    <row r="23" spans="2:17" x14ac:dyDescent="0.5">
      <c r="B23" s="45">
        <f>IF(Table11[[#This Row],[Kelurahan]]="","",ROW(I19))</f>
        <v>19</v>
      </c>
      <c r="C23" s="53" t="s">
        <v>49</v>
      </c>
      <c r="D23" s="53" t="str">
        <f>INDEX(Table2[Kecamatan],MATCH(Table11[[#This Row],[Kelurahan]],Table2[Kelurahan],0))</f>
        <v>Ilir Barat I</v>
      </c>
      <c r="E23" s="53" t="str">
        <f>INDEX(Table2[Kabupaten/Kota],MATCH(Table11[[#This Row],[Kecamatan]],Table2[Kecamatan],0))</f>
        <v>Palembang</v>
      </c>
      <c r="F23" s="53" t="str">
        <f>INDEX(Table2[Provinsi],MATCH(Table11[[#This Row],[Kab/Kota]],Table2[Kabupaten/Kota],0))</f>
        <v>Sumatera Selatan</v>
      </c>
      <c r="G23" s="2" t="s">
        <v>204</v>
      </c>
      <c r="H23" s="58">
        <v>3</v>
      </c>
      <c r="L23" t="s">
        <v>47</v>
      </c>
      <c r="M23" s="2" t="s">
        <v>99</v>
      </c>
      <c r="N23" s="45">
        <f t="shared" si="0"/>
        <v>46</v>
      </c>
      <c r="P23" s="87" t="s">
        <v>541</v>
      </c>
      <c r="Q23" s="44">
        <v>54</v>
      </c>
    </row>
    <row r="24" spans="2:17" x14ac:dyDescent="0.5">
      <c r="B24" s="45">
        <f>IF(Table11[[#This Row],[Kelurahan]]="","",ROW(I20))</f>
        <v>20</v>
      </c>
      <c r="C24" s="53" t="s">
        <v>474</v>
      </c>
      <c r="D24" s="53" t="str">
        <f>INDEX(Table2[Kecamatan],MATCH(Table11[[#This Row],[Kelurahan]],Table2[Kelurahan],0))</f>
        <v>Bandar Mulia</v>
      </c>
      <c r="E24" s="53" t="str">
        <f>INDEX(Table2[Kabupaten/Kota],MATCH(Table11[[#This Row],[Kecamatan]],Table2[Kecamatan],0))</f>
        <v>Aceh Tamiang</v>
      </c>
      <c r="F24" s="53" t="str">
        <f>INDEX(Table2[Provinsi],MATCH(Table11[[#This Row],[Kab/Kota]],Table2[Kabupaten/Kota],0))</f>
        <v>Nangroe Aceh Darussalam</v>
      </c>
      <c r="G24" s="2" t="s">
        <v>204</v>
      </c>
      <c r="H24" s="58">
        <v>2</v>
      </c>
      <c r="L24" t="s">
        <v>47</v>
      </c>
      <c r="M24" s="2" t="s">
        <v>100</v>
      </c>
      <c r="N24" s="45">
        <f t="shared" si="0"/>
        <v>1</v>
      </c>
      <c r="P24" s="87" t="s">
        <v>543</v>
      </c>
      <c r="Q24" s="44">
        <v>43</v>
      </c>
    </row>
    <row r="25" spans="2:17" x14ac:dyDescent="0.5">
      <c r="B25" s="45">
        <f>IF(Table11[[#This Row],[Kelurahan]]="","",ROW(I21))</f>
        <v>21</v>
      </c>
      <c r="C25" s="53" t="s">
        <v>302</v>
      </c>
      <c r="D25" s="53" t="str">
        <f>INDEX(Table2[Kecamatan],MATCH(Table11[[#This Row],[Kelurahan]],Table2[Kelurahan],0))</f>
        <v>Karang baru</v>
      </c>
      <c r="E25" s="53" t="str">
        <f>INDEX(Table2[Kabupaten/Kota],MATCH(Table11[[#This Row],[Kecamatan]],Table2[Kecamatan],0))</f>
        <v>Aceh Tamiang</v>
      </c>
      <c r="F25" s="53" t="str">
        <f>INDEX(Table2[Provinsi],MATCH(Table11[[#This Row],[Kab/Kota]],Table2[Kabupaten/Kota],0))</f>
        <v>Nangroe Aceh Darussalam</v>
      </c>
      <c r="G25" s="2" t="s">
        <v>204</v>
      </c>
      <c r="H25" s="58">
        <v>2</v>
      </c>
      <c r="L25" t="s">
        <v>47</v>
      </c>
      <c r="M25" s="2" t="s">
        <v>328</v>
      </c>
      <c r="N25" s="45">
        <f t="shared" si="0"/>
        <v>1</v>
      </c>
      <c r="P25" s="87" t="s">
        <v>465</v>
      </c>
      <c r="Q25" s="44">
        <v>450</v>
      </c>
    </row>
    <row r="26" spans="2:17" x14ac:dyDescent="0.5">
      <c r="B26" s="45">
        <f>IF(Table11[[#This Row],[Kelurahan]]="","",ROW(I22))</f>
        <v>22</v>
      </c>
      <c r="C26" s="53" t="s">
        <v>483</v>
      </c>
      <c r="D26" s="53" t="str">
        <f>INDEX(Table2[Kecamatan],MATCH(Table11[[#This Row],[Kelurahan]],Table2[Kelurahan],0))</f>
        <v>Kejuruan Muda</v>
      </c>
      <c r="E26" s="53" t="str">
        <f>INDEX(Table2[Kabupaten/Kota],MATCH(Table11[[#This Row],[Kecamatan]],Table2[Kecamatan],0))</f>
        <v>Aceh Tamiang</v>
      </c>
      <c r="F26" s="53" t="str">
        <f>INDEX(Table2[Provinsi],MATCH(Table11[[#This Row],[Kab/Kota]],Table2[Kabupaten/Kota],0))</f>
        <v>Nangroe Aceh Darussalam</v>
      </c>
      <c r="G26" s="2" t="s">
        <v>204</v>
      </c>
      <c r="H26" s="58">
        <v>2</v>
      </c>
      <c r="L26" t="s">
        <v>47</v>
      </c>
      <c r="M26" s="2" t="s">
        <v>446</v>
      </c>
      <c r="N26" s="45">
        <f t="shared" si="0"/>
        <v>6</v>
      </c>
      <c r="P26" s="87" t="s">
        <v>555</v>
      </c>
      <c r="Q26" s="44">
        <v>200</v>
      </c>
    </row>
    <row r="27" spans="2:17" x14ac:dyDescent="0.5">
      <c r="B27" s="45">
        <f>IF(Table11[[#This Row],[Kelurahan]]="","",ROW(I23))</f>
        <v>23</v>
      </c>
      <c r="C27" s="53" t="s">
        <v>319</v>
      </c>
      <c r="D27" s="53" t="str">
        <f>INDEX(Table2[Kecamatan],MATCH(Table11[[#This Row],[Kelurahan]],Table2[Kelurahan],0))</f>
        <v>Rantau</v>
      </c>
      <c r="E27" s="53" t="str">
        <f>INDEX(Table2[Kabupaten/Kota],MATCH(Table11[[#This Row],[Kecamatan]],Table2[Kecamatan],0))</f>
        <v>Aceh Tamiang</v>
      </c>
      <c r="F27" s="53" t="str">
        <f>INDEX(Table2[Provinsi],MATCH(Table11[[#This Row],[Kab/Kota]],Table2[Kabupaten/Kota],0))</f>
        <v>Nangroe Aceh Darussalam</v>
      </c>
      <c r="G27" s="2" t="s">
        <v>204</v>
      </c>
      <c r="H27" s="58">
        <v>2</v>
      </c>
      <c r="L27" t="s">
        <v>47</v>
      </c>
      <c r="M27" s="2" t="s">
        <v>49</v>
      </c>
      <c r="N27" s="45">
        <f t="shared" si="0"/>
        <v>3</v>
      </c>
      <c r="P27" s="87" t="s">
        <v>311</v>
      </c>
      <c r="Q27" s="44">
        <v>150</v>
      </c>
    </row>
    <row r="28" spans="2:17" x14ac:dyDescent="0.5">
      <c r="B28" s="45">
        <f>IF(Table11[[#This Row],[Kelurahan]]="","",ROW(I24))</f>
        <v>24</v>
      </c>
      <c r="C28" s="53" t="s">
        <v>424</v>
      </c>
      <c r="D28" s="53" t="str">
        <f>INDEX(Table2[Kecamatan],MATCH(Table11[[#This Row],[Kelurahan]],Table2[Kelurahan],0))</f>
        <v>Tamiang Hulu</v>
      </c>
      <c r="E28" s="53" t="str">
        <f>INDEX(Table2[Kabupaten/Kota],MATCH(Table11[[#This Row],[Kecamatan]],Table2[Kecamatan],0))</f>
        <v>Aceh Tamiang</v>
      </c>
      <c r="F28" s="53" t="str">
        <f>INDEX(Table2[Provinsi],MATCH(Table11[[#This Row],[Kab/Kota]],Table2[Kabupaten/Kota],0))</f>
        <v>Nangroe Aceh Darussalam</v>
      </c>
      <c r="G28" s="2" t="s">
        <v>204</v>
      </c>
      <c r="H28" s="58">
        <v>2</v>
      </c>
      <c r="L28" t="s">
        <v>47</v>
      </c>
      <c r="M28" s="2" t="s">
        <v>410</v>
      </c>
      <c r="N28" s="45">
        <f t="shared" si="0"/>
        <v>8</v>
      </c>
      <c r="P28" s="87" t="s">
        <v>552</v>
      </c>
      <c r="Q28" s="44">
        <v>240</v>
      </c>
    </row>
    <row r="29" spans="2:17" x14ac:dyDescent="0.5">
      <c r="B29" s="45">
        <f>IF(Table11[[#This Row],[Kelurahan]]="","",ROW(I25))</f>
        <v>25</v>
      </c>
      <c r="C29" s="53" t="s">
        <v>38</v>
      </c>
      <c r="D29" s="53" t="str">
        <f>INDEX(Table2[Kecamatan],MATCH(Table11[[#This Row],[Kelurahan]],Table2[Kelurahan],0))</f>
        <v>Bukit Kecil</v>
      </c>
      <c r="E29" s="53" t="str">
        <f>INDEX(Table2[Kabupaten/Kota],MATCH(Table11[[#This Row],[Kecamatan]],Table2[Kecamatan],0))</f>
        <v>Palembang</v>
      </c>
      <c r="F29" s="53" t="str">
        <f>INDEX(Table2[Provinsi],MATCH(Table11[[#This Row],[Kab/Kota]],Table2[Kabupaten/Kota],0))</f>
        <v>Sumatera Selatan</v>
      </c>
      <c r="G29" s="2" t="s">
        <v>204</v>
      </c>
      <c r="H29" s="58">
        <v>2</v>
      </c>
      <c r="L29" t="s">
        <v>47</v>
      </c>
      <c r="M29" s="2" t="s">
        <v>302</v>
      </c>
      <c r="N29" s="45">
        <f t="shared" si="0"/>
        <v>2</v>
      </c>
      <c r="P29" s="87" t="s">
        <v>383</v>
      </c>
      <c r="Q29" s="44">
        <v>100</v>
      </c>
    </row>
    <row r="30" spans="2:17" x14ac:dyDescent="0.5">
      <c r="B30" s="45">
        <f>IF(Table11[[#This Row],[Kelurahan]]="","",ROW(I26))</f>
        <v>26</v>
      </c>
      <c r="C30" s="53" t="s">
        <v>104</v>
      </c>
      <c r="D30" s="53" t="str">
        <f>INDEX(Table2[Kecamatan],MATCH(Table11[[#This Row],[Kelurahan]],Table2[Kelurahan],0))</f>
        <v>Plaju</v>
      </c>
      <c r="E30" s="53" t="str">
        <f>INDEX(Table2[Kabupaten/Kota],MATCH(Table11[[#This Row],[Kecamatan]],Table2[Kecamatan],0))</f>
        <v>Palembang</v>
      </c>
      <c r="F30" s="53" t="str">
        <f>INDEX(Table2[Provinsi],MATCH(Table11[[#This Row],[Kab/Kota]],Table2[Kabupaten/Kota],0))</f>
        <v>Sumatera Selatan</v>
      </c>
      <c r="G30" s="2" t="s">
        <v>204</v>
      </c>
      <c r="H30" s="58">
        <v>2</v>
      </c>
      <c r="L30" t="s">
        <v>47</v>
      </c>
      <c r="M30" s="2" t="s">
        <v>406</v>
      </c>
      <c r="N30" s="45">
        <f t="shared" si="0"/>
        <v>1</v>
      </c>
      <c r="P30" s="87" t="s">
        <v>560</v>
      </c>
      <c r="Q30" s="44">
        <v>240</v>
      </c>
    </row>
    <row r="31" spans="2:17" x14ac:dyDescent="0.5">
      <c r="B31" s="45">
        <f>IF(Table11[[#This Row],[Kelurahan]]="","",ROW(I27))</f>
        <v>27</v>
      </c>
      <c r="C31" s="53" t="s">
        <v>135</v>
      </c>
      <c r="D31" s="53" t="str">
        <f>INDEX(Table2[Kecamatan],MATCH(Table11[[#This Row],[Kelurahan]],Table2[Kelurahan],0))</f>
        <v>Sukarami</v>
      </c>
      <c r="E31" s="53" t="str">
        <f>INDEX(Table2[Kabupaten/Kota],MATCH(Table11[[#This Row],[Kecamatan]],Table2[Kecamatan],0))</f>
        <v>Palembang</v>
      </c>
      <c r="F31" s="53" t="str">
        <f>INDEX(Table2[Provinsi],MATCH(Table11[[#This Row],[Kab/Kota]],Table2[Kabupaten/Kota],0))</f>
        <v>Sumatera Selatan</v>
      </c>
      <c r="G31" s="2" t="s">
        <v>204</v>
      </c>
      <c r="H31" s="58">
        <v>2</v>
      </c>
      <c r="L31" t="s">
        <v>47</v>
      </c>
      <c r="M31" s="2" t="s">
        <v>336</v>
      </c>
      <c r="N31" s="45">
        <f t="shared" si="0"/>
        <v>11</v>
      </c>
      <c r="P31" s="87" t="s">
        <v>558</v>
      </c>
      <c r="Q31" s="44">
        <v>200</v>
      </c>
    </row>
    <row r="32" spans="2:17" x14ac:dyDescent="0.5">
      <c r="B32" s="45">
        <f>IF(Table11[[#This Row],[Kelurahan]]="","",ROW(I28))</f>
        <v>28</v>
      </c>
      <c r="C32" s="53" t="s">
        <v>576</v>
      </c>
      <c r="D32" s="53" t="str">
        <f>INDEX(Table2[Kecamatan],MATCH(Table11[[#This Row],[Kelurahan]],Table2[Kelurahan],0))</f>
        <v>Bandar Mulia</v>
      </c>
      <c r="E32" s="53" t="str">
        <f>INDEX(Table2[Kabupaten/Kota],MATCH(Table11[[#This Row],[Kecamatan]],Table2[Kecamatan],0))</f>
        <v>Aceh Tamiang</v>
      </c>
      <c r="F32" s="53" t="str">
        <f>INDEX(Table2[Provinsi],MATCH(Table11[[#This Row],[Kab/Kota]],Table2[Kabupaten/Kota],0))</f>
        <v>Nangroe Aceh Darussalam</v>
      </c>
      <c r="G32" s="2" t="s">
        <v>204</v>
      </c>
      <c r="H32" s="58">
        <v>1</v>
      </c>
      <c r="L32" t="s">
        <v>47</v>
      </c>
      <c r="M32" s="2" t="s">
        <v>159</v>
      </c>
      <c r="N32" s="45">
        <f t="shared" si="0"/>
        <v>1</v>
      </c>
      <c r="P32" s="87" t="s">
        <v>44</v>
      </c>
      <c r="Q32" s="44">
        <v>60</v>
      </c>
    </row>
    <row r="33" spans="2:17" x14ac:dyDescent="0.5">
      <c r="B33" s="45">
        <f>IF(Table11[[#This Row],[Kelurahan]]="","",ROW(I29))</f>
        <v>29</v>
      </c>
      <c r="C33" s="53" t="s">
        <v>484</v>
      </c>
      <c r="D33" s="53" t="str">
        <f>INDEX(Table2[Kecamatan],MATCH(Table11[[#This Row],[Kelurahan]],Table2[Kelurahan],0))</f>
        <v>Karang baru</v>
      </c>
      <c r="E33" s="53" t="str">
        <f>INDEX(Table2[Kabupaten/Kota],MATCH(Table11[[#This Row],[Kecamatan]],Table2[Kecamatan],0))</f>
        <v>Aceh Tamiang</v>
      </c>
      <c r="F33" s="53" t="str">
        <f>INDEX(Table2[Provinsi],MATCH(Table11[[#This Row],[Kab/Kota]],Table2[Kabupaten/Kota],0))</f>
        <v>Nangroe Aceh Darussalam</v>
      </c>
      <c r="G33" s="2" t="s">
        <v>204</v>
      </c>
      <c r="H33" s="58">
        <v>1</v>
      </c>
      <c r="L33" s="57" t="s">
        <v>478</v>
      </c>
      <c r="M33" s="2" t="s">
        <v>104</v>
      </c>
      <c r="N33" s="45">
        <f t="shared" si="0"/>
        <v>2</v>
      </c>
      <c r="P33" s="87" t="s">
        <v>3</v>
      </c>
      <c r="Q33" s="44">
        <v>23</v>
      </c>
    </row>
    <row r="34" spans="2:17" x14ac:dyDescent="0.5">
      <c r="B34" s="45">
        <f>IF(Table11[[#This Row],[Kelurahan]]="","",ROW(I30))</f>
        <v>30</v>
      </c>
      <c r="C34" s="53" t="s">
        <v>478</v>
      </c>
      <c r="D34" s="53" t="str">
        <f>INDEX(Table2[Kecamatan],MATCH(Table11[[#This Row],[Kelurahan]],Table2[Kelurahan],0))</f>
        <v>Karang baru</v>
      </c>
      <c r="E34" s="53" t="str">
        <f>INDEX(Table2[Kabupaten/Kota],MATCH(Table11[[#This Row],[Kecamatan]],Table2[Kecamatan],0))</f>
        <v>Aceh Tamiang</v>
      </c>
      <c r="F34" s="53" t="str">
        <f>INDEX(Table2[Provinsi],MATCH(Table11[[#This Row],[Kab/Kota]],Table2[Kabupaten/Kota],0))</f>
        <v>Nangroe Aceh Darussalam</v>
      </c>
      <c r="G34" s="2" t="s">
        <v>204</v>
      </c>
      <c r="H34" s="58">
        <v>1</v>
      </c>
      <c r="L34" t="s">
        <v>331</v>
      </c>
      <c r="M34" s="2" t="s">
        <v>44</v>
      </c>
      <c r="N34" s="45">
        <f t="shared" si="0"/>
        <v>1</v>
      </c>
      <c r="P34" s="87" t="s">
        <v>7</v>
      </c>
      <c r="Q34" s="44">
        <v>27</v>
      </c>
    </row>
    <row r="35" spans="2:17" x14ac:dyDescent="0.5">
      <c r="B35" s="45">
        <f>IF(Table11[[#This Row],[Kelurahan]]="","",ROW(I31))</f>
        <v>31</v>
      </c>
      <c r="C35" s="53" t="s">
        <v>510</v>
      </c>
      <c r="D35" s="53" t="str">
        <f>INDEX(Table2[Kecamatan],MATCH(Table11[[#This Row],[Kelurahan]],Table2[Kelurahan],0))</f>
        <v>Manyak Payed</v>
      </c>
      <c r="E35" s="53" t="str">
        <f>INDEX(Table2[Kabupaten/Kota],MATCH(Table11[[#This Row],[Kecamatan]],Table2[Kecamatan],0))</f>
        <v>Aceh Tamiang</v>
      </c>
      <c r="F35" s="53" t="str">
        <f>INDEX(Table2[Provinsi],MATCH(Table11[[#This Row],[Kab/Kota]],Table2[Kabupaten/Kota],0))</f>
        <v>Nangroe Aceh Darussalam</v>
      </c>
      <c r="G35" s="2" t="s">
        <v>204</v>
      </c>
      <c r="H35" s="58">
        <v>1</v>
      </c>
      <c r="L35" t="s">
        <v>331</v>
      </c>
      <c r="M35" s="2" t="s">
        <v>483</v>
      </c>
      <c r="N35" s="45">
        <f t="shared" si="0"/>
        <v>2</v>
      </c>
      <c r="P35" s="87" t="s">
        <v>524</v>
      </c>
      <c r="Q35" s="44">
        <v>50</v>
      </c>
    </row>
    <row r="36" spans="2:17" x14ac:dyDescent="0.5">
      <c r="B36" s="45">
        <f>IF(Table11[[#This Row],[Kelurahan]]="","",ROW(I32))</f>
        <v>32</v>
      </c>
      <c r="C36" s="53" t="s">
        <v>328</v>
      </c>
      <c r="D36" s="53" t="str">
        <f>INDEX(Table2[Kecamatan],MATCH(Table11[[#This Row],[Kelurahan]],Table2[Kelurahan],0))</f>
        <v>Rantau</v>
      </c>
      <c r="E36" s="53" t="str">
        <f>INDEX(Table2[Kabupaten/Kota],MATCH(Table11[[#This Row],[Kecamatan]],Table2[Kecamatan],0))</f>
        <v>Aceh Tamiang</v>
      </c>
      <c r="F36" s="53" t="str">
        <f>INDEX(Table2[Provinsi],MATCH(Table11[[#This Row],[Kab/Kota]],Table2[Kabupaten/Kota],0))</f>
        <v>Nangroe Aceh Darussalam</v>
      </c>
      <c r="G36" s="2" t="s">
        <v>204</v>
      </c>
      <c r="H36" s="58">
        <v>1</v>
      </c>
      <c r="L36" t="s">
        <v>331</v>
      </c>
      <c r="M36" s="2" t="s">
        <v>424</v>
      </c>
      <c r="N36" s="45">
        <f t="shared" si="0"/>
        <v>2</v>
      </c>
      <c r="P36" s="87" t="s">
        <v>388</v>
      </c>
      <c r="Q36" s="44">
        <v>154</v>
      </c>
    </row>
    <row r="37" spans="2:17" x14ac:dyDescent="0.5">
      <c r="B37" s="45">
        <f>IF(Table11[[#This Row],[Kelurahan]]="","",ROW(I33))</f>
        <v>33</v>
      </c>
      <c r="C37" s="53" t="s">
        <v>573</v>
      </c>
      <c r="D37" s="53" t="str">
        <f>INDEX(Table2[Kecamatan],MATCH(Table11[[#This Row],[Kelurahan]],Table2[Kelurahan],0))</f>
        <v>Sekerak</v>
      </c>
      <c r="E37" s="53" t="str">
        <f>INDEX(Table2[Kabupaten/Kota],MATCH(Table11[[#This Row],[Kecamatan]],Table2[Kecamatan],0))</f>
        <v>Aceh Tamiang</v>
      </c>
      <c r="F37" s="53" t="str">
        <f>INDEX(Table2[Provinsi],MATCH(Table11[[#This Row],[Kab/Kota]],Table2[Kabupaten/Kota],0))</f>
        <v>Nangroe Aceh Darussalam</v>
      </c>
      <c r="G37" s="2" t="s">
        <v>204</v>
      </c>
      <c r="H37" s="58">
        <v>1</v>
      </c>
      <c r="L37" t="s">
        <v>33</v>
      </c>
      <c r="M37" s="2" t="s">
        <v>510</v>
      </c>
      <c r="N37" s="45">
        <f t="shared" si="0"/>
        <v>1</v>
      </c>
      <c r="P37" s="87" t="s">
        <v>322</v>
      </c>
      <c r="Q37" s="44">
        <v>66</v>
      </c>
    </row>
    <row r="38" spans="2:17" x14ac:dyDescent="0.5">
      <c r="B38" s="45">
        <f>IF(Table11[[#This Row],[Kelurahan]]="","",ROW(I34))</f>
        <v>34</v>
      </c>
      <c r="C38" s="53" t="s">
        <v>406</v>
      </c>
      <c r="D38" s="53" t="str">
        <f>INDEX(Table2[Kecamatan],MATCH(Table11[[#This Row],[Kelurahan]],Table2[Kelurahan],0))</f>
        <v>Sekerak</v>
      </c>
      <c r="E38" s="53" t="str">
        <f>INDEX(Table2[Kabupaten/Kota],MATCH(Table11[[#This Row],[Kecamatan]],Table2[Kecamatan],0))</f>
        <v>Aceh Tamiang</v>
      </c>
      <c r="F38" s="53" t="str">
        <f>INDEX(Table2[Provinsi],MATCH(Table11[[#This Row],[Kab/Kota]],Table2[Kabupaten/Kota],0))</f>
        <v>Nangroe Aceh Darussalam</v>
      </c>
      <c r="G38" s="2" t="s">
        <v>204</v>
      </c>
      <c r="H38" s="58">
        <v>1</v>
      </c>
      <c r="L38" t="s">
        <v>96</v>
      </c>
      <c r="M38" s="2" t="s">
        <v>456</v>
      </c>
      <c r="N38" s="45">
        <f t="shared" si="0"/>
        <v>8</v>
      </c>
      <c r="P38" s="87" t="s">
        <v>568</v>
      </c>
      <c r="Q38" s="44">
        <v>40</v>
      </c>
    </row>
    <row r="39" spans="2:17" x14ac:dyDescent="0.5">
      <c r="B39" s="45">
        <f>IF(Table11[[#This Row],[Kelurahan]]="","",ROW(I35))</f>
        <v>35</v>
      </c>
      <c r="C39" s="53" t="s">
        <v>514</v>
      </c>
      <c r="D39" s="53" t="str">
        <f>INDEX(Table2[Kecamatan],MATCH(Table11[[#This Row],[Kelurahan]],Table2[Kelurahan],0))</f>
        <v>Tamiang Hulu</v>
      </c>
      <c r="E39" s="53" t="str">
        <f>INDEX(Table2[Kabupaten/Kota],MATCH(Table11[[#This Row],[Kecamatan]],Table2[Kecamatan],0))</f>
        <v>Aceh Tamiang</v>
      </c>
      <c r="F39" s="53" t="str">
        <f>INDEX(Table2[Provinsi],MATCH(Table11[[#This Row],[Kab/Kota]],Table2[Kabupaten/Kota],0))</f>
        <v>Nangroe Aceh Darussalam</v>
      </c>
      <c r="G39" s="2" t="s">
        <v>204</v>
      </c>
      <c r="H39" s="58">
        <v>1</v>
      </c>
      <c r="L39" t="s">
        <v>96</v>
      </c>
      <c r="M39" s="2" t="s">
        <v>50</v>
      </c>
      <c r="N39" s="45">
        <f t="shared" si="0"/>
        <v>1</v>
      </c>
      <c r="P39" s="87" t="s">
        <v>540</v>
      </c>
      <c r="Q39" s="44">
        <v>50</v>
      </c>
    </row>
    <row r="40" spans="2:17" x14ac:dyDescent="0.5">
      <c r="B40" s="45">
        <f>IF(Table11[[#This Row],[Kelurahan]]="","",ROW(I36))</f>
        <v>36</v>
      </c>
      <c r="C40" s="53" t="s">
        <v>601</v>
      </c>
      <c r="D40" s="53" t="str">
        <f>INDEX(Table2[Kecamatan],MATCH(Table11[[#This Row],[Kelurahan]],Table2[Kelurahan],0))</f>
        <v>Bandar Pusaka</v>
      </c>
      <c r="E40" s="53" t="str">
        <f>INDEX(Table2[Kabupaten/Kota],MATCH(Table11[[#This Row],[Kecamatan]],Table2[Kecamatan],0))</f>
        <v xml:space="preserve">Aceh Tamiang </v>
      </c>
      <c r="F40" s="53" t="str">
        <f>INDEX(Table2[Provinsi],MATCH(Table11[[#This Row],[Kab/Kota]],Table2[Kabupaten/Kota],0))</f>
        <v>Nangroe Aceh Darussalam</v>
      </c>
      <c r="G40" s="2" t="s">
        <v>204</v>
      </c>
      <c r="H40" s="58">
        <v>1</v>
      </c>
      <c r="L40" t="s">
        <v>96</v>
      </c>
      <c r="M40" s="2" t="s">
        <v>564</v>
      </c>
      <c r="N40" s="45">
        <f t="shared" si="0"/>
        <v>1</v>
      </c>
      <c r="P40" s="87" t="s">
        <v>521</v>
      </c>
      <c r="Q40" s="44">
        <v>50</v>
      </c>
    </row>
    <row r="41" spans="2:17" x14ac:dyDescent="0.5">
      <c r="B41" s="45">
        <f>IF(Table11[[#This Row],[Kelurahan]]="","",ROW(I37))</f>
        <v>37</v>
      </c>
      <c r="C41" s="53" t="s">
        <v>166</v>
      </c>
      <c r="D41" s="53" t="str">
        <f>INDEX(Table2[Kecamatan],MATCH(Table11[[#This Row],[Kelurahan]],Table2[Kelurahan],0))</f>
        <v>Talang Kelapa</v>
      </c>
      <c r="E41" s="53" t="str">
        <f>INDEX(Table2[Kabupaten/Kota],MATCH(Table11[[#This Row],[Kecamatan]],Table2[Kecamatan],0))</f>
        <v>Banyuasin</v>
      </c>
      <c r="F41" s="53" t="str">
        <f>INDEX(Table2[Provinsi],MATCH(Table11[[#This Row],[Kab/Kota]],Table2[Kabupaten/Kota],0))</f>
        <v>Sumatera Selatan</v>
      </c>
      <c r="G41" s="2" t="s">
        <v>204</v>
      </c>
      <c r="H41" s="58">
        <v>1</v>
      </c>
      <c r="L41" t="s">
        <v>96</v>
      </c>
      <c r="M41" s="2" t="s">
        <v>474</v>
      </c>
      <c r="N41" s="45">
        <f t="shared" si="0"/>
        <v>2</v>
      </c>
      <c r="P41" s="87" t="s">
        <v>592</v>
      </c>
      <c r="Q41" s="44">
        <v>100</v>
      </c>
    </row>
    <row r="42" spans="2:17" x14ac:dyDescent="0.5">
      <c r="B42" s="45">
        <f>IF(Table11[[#This Row],[Kelurahan]]="","",ROW(I38))</f>
        <v>38</v>
      </c>
      <c r="C42" s="53" t="s">
        <v>232</v>
      </c>
      <c r="D42" s="53" t="str">
        <f>INDEX(Table2[Kecamatan],MATCH(Table11[[#This Row],[Kelurahan]],Table2[Kelurahan],0))</f>
        <v>Talang Kelapa</v>
      </c>
      <c r="E42" s="53" t="str">
        <f>INDEX(Table2[Kabupaten/Kota],MATCH(Table11[[#This Row],[Kecamatan]],Table2[Kecamatan],0))</f>
        <v>Banyuasin</v>
      </c>
      <c r="F42" s="53" t="str">
        <f>INDEX(Table2[Provinsi],MATCH(Table11[[#This Row],[Kab/Kota]],Table2[Kabupaten/Kota],0))</f>
        <v>Sumatera Selatan</v>
      </c>
      <c r="G42" s="2" t="s">
        <v>204</v>
      </c>
      <c r="H42" s="58">
        <v>1</v>
      </c>
      <c r="L42" t="s">
        <v>96</v>
      </c>
      <c r="M42" s="2" t="s">
        <v>426</v>
      </c>
      <c r="N42" s="45">
        <f t="shared" si="0"/>
        <v>4</v>
      </c>
      <c r="P42" s="87" t="s">
        <v>594</v>
      </c>
      <c r="Q42" s="44">
        <v>200</v>
      </c>
    </row>
    <row r="43" spans="2:17" x14ac:dyDescent="0.5">
      <c r="B43" s="45">
        <f>IF(Table11[[#This Row],[Kelurahan]]="","",ROW(I39))</f>
        <v>39</v>
      </c>
      <c r="C43" s="53" t="s">
        <v>159</v>
      </c>
      <c r="D43" s="53" t="str">
        <f>INDEX(Table2[Kecamatan],MATCH(Table11[[#This Row],[Kelurahan]],Table2[Kelurahan],0))</f>
        <v>Pemulutan</v>
      </c>
      <c r="E43" s="53" t="str">
        <f>INDEX(Table2[Kabupaten/Kota],MATCH(Table11[[#This Row],[Kecamatan]],Table2[Kecamatan],0))</f>
        <v>Ogan Ilir</v>
      </c>
      <c r="F43" s="53" t="str">
        <f>INDEX(Table2[Provinsi],MATCH(Table11[[#This Row],[Kab/Kota]],Table2[Kabupaten/Kota],0))</f>
        <v>Sumatera Selatan</v>
      </c>
      <c r="G43" s="2" t="s">
        <v>204</v>
      </c>
      <c r="H43" s="58">
        <v>1</v>
      </c>
      <c r="L43" t="s">
        <v>96</v>
      </c>
      <c r="M43" s="2" t="s">
        <v>132</v>
      </c>
      <c r="N43" s="45">
        <f t="shared" si="0"/>
        <v>1</v>
      </c>
      <c r="P43" s="87" t="s">
        <v>588</v>
      </c>
      <c r="Q43" s="44">
        <v>50</v>
      </c>
    </row>
    <row r="44" spans="2:17" x14ac:dyDescent="0.5">
      <c r="B44" s="45">
        <f>IF(Table11[[#This Row],[Kelurahan]]="","",ROW(I40))</f>
        <v>40</v>
      </c>
      <c r="C44" s="53" t="s">
        <v>33</v>
      </c>
      <c r="D44" s="53" t="str">
        <f>INDEX(Table2[Kecamatan],MATCH(Table11[[#This Row],[Kelurahan]],Table2[Kelurahan],0))</f>
        <v>Alang-Alang Lebar</v>
      </c>
      <c r="E44" s="53" t="str">
        <f>INDEX(Table2[Kabupaten/Kota],MATCH(Table11[[#This Row],[Kecamatan]],Table2[Kecamatan],0))</f>
        <v>Palembang</v>
      </c>
      <c r="F44" s="53" t="str">
        <f>INDEX(Table2[Provinsi],MATCH(Table11[[#This Row],[Kab/Kota]],Table2[Kabupaten/Kota],0))</f>
        <v>Sumatera Selatan</v>
      </c>
      <c r="G44" s="2" t="s">
        <v>204</v>
      </c>
      <c r="H44" s="58">
        <v>1</v>
      </c>
      <c r="L44" t="s">
        <v>96</v>
      </c>
      <c r="M44" s="2" t="s">
        <v>430</v>
      </c>
      <c r="N44" s="45">
        <f t="shared" si="0"/>
        <v>3</v>
      </c>
      <c r="P44" s="87" t="s">
        <v>563</v>
      </c>
      <c r="Q44" s="44">
        <v>40</v>
      </c>
    </row>
    <row r="45" spans="2:17" x14ac:dyDescent="0.5">
      <c r="B45" s="45">
        <f>IF(Table11[[#This Row],[Kelurahan]]="","",ROW(I41))</f>
        <v>41</v>
      </c>
      <c r="C45" s="53" t="s">
        <v>44</v>
      </c>
      <c r="D45" s="53" t="str">
        <f>INDEX(Table2[Kecamatan],MATCH(Table11[[#This Row],[Kelurahan]],Table2[Kelurahan],0))</f>
        <v>Gandus</v>
      </c>
      <c r="E45" s="53" t="str">
        <f>INDEX(Table2[Kabupaten/Kota],MATCH(Table11[[#This Row],[Kecamatan]],Table2[Kecamatan],0))</f>
        <v>Palembang</v>
      </c>
      <c r="F45" s="53" t="str">
        <f>INDEX(Table2[Provinsi],MATCH(Table11[[#This Row],[Kab/Kota]],Table2[Kabupaten/Kota],0))</f>
        <v>Sumatera Selatan</v>
      </c>
      <c r="G45" s="2" t="s">
        <v>204</v>
      </c>
      <c r="H45" s="58">
        <v>1</v>
      </c>
      <c r="L45" t="s">
        <v>96</v>
      </c>
      <c r="M45" s="2" t="s">
        <v>68</v>
      </c>
      <c r="N45" s="45">
        <f t="shared" si="0"/>
        <v>1</v>
      </c>
      <c r="P45" s="87" t="s">
        <v>247</v>
      </c>
      <c r="Q45" s="44">
        <v>36</v>
      </c>
    </row>
    <row r="46" spans="2:17" x14ac:dyDescent="0.5">
      <c r="B46" s="45">
        <f>IF(Table11[[#This Row],[Kelurahan]]="","",ROW(I42))</f>
        <v>42</v>
      </c>
      <c r="C46" s="53" t="s">
        <v>46</v>
      </c>
      <c r="D46" s="53" t="str">
        <f>INDEX(Table2[Kecamatan],MATCH(Table11[[#This Row],[Kelurahan]],Table2[Kelurahan],0))</f>
        <v>Ilir Barat I</v>
      </c>
      <c r="E46" s="53" t="str">
        <f>INDEX(Table2[Kabupaten/Kota],MATCH(Table11[[#This Row],[Kecamatan]],Table2[Kecamatan],0))</f>
        <v>Palembang</v>
      </c>
      <c r="F46" s="53" t="str">
        <f>INDEX(Table2[Provinsi],MATCH(Table11[[#This Row],[Kab/Kota]],Table2[Kabupaten/Kota],0))</f>
        <v>Sumatera Selatan</v>
      </c>
      <c r="G46" s="2" t="s">
        <v>204</v>
      </c>
      <c r="H46" s="58">
        <v>1</v>
      </c>
      <c r="L46" t="s">
        <v>96</v>
      </c>
      <c r="M46" s="2" t="s">
        <v>232</v>
      </c>
      <c r="N46" s="45">
        <f t="shared" si="0"/>
        <v>1</v>
      </c>
      <c r="P46" s="87" t="s">
        <v>391</v>
      </c>
      <c r="Q46" s="44">
        <v>100</v>
      </c>
    </row>
    <row r="47" spans="2:17" x14ac:dyDescent="0.5">
      <c r="B47" s="45">
        <f>IF(Table11[[#This Row],[Kelurahan]]="","",ROW(I43))</f>
        <v>43</v>
      </c>
      <c r="C47" s="53" t="s">
        <v>50</v>
      </c>
      <c r="D47" s="53" t="str">
        <f>INDEX(Table2[Kecamatan],MATCH(Table11[[#This Row],[Kelurahan]],Table2[Kelurahan],0))</f>
        <v>Ilir Barat I</v>
      </c>
      <c r="E47" s="53" t="str">
        <f>INDEX(Table2[Kabupaten/Kota],MATCH(Table11[[#This Row],[Kecamatan]],Table2[Kecamatan],0))</f>
        <v>Palembang</v>
      </c>
      <c r="F47" s="53" t="str">
        <f>INDEX(Table2[Provinsi],MATCH(Table11[[#This Row],[Kab/Kota]],Table2[Kabupaten/Kota],0))</f>
        <v>Sumatera Selatan</v>
      </c>
      <c r="G47" s="2" t="s">
        <v>204</v>
      </c>
      <c r="H47" s="58">
        <v>1</v>
      </c>
      <c r="L47" t="s">
        <v>96</v>
      </c>
      <c r="M47" s="2" t="s">
        <v>135</v>
      </c>
      <c r="N47" s="45">
        <f t="shared" si="0"/>
        <v>2</v>
      </c>
      <c r="P47" s="87" t="s">
        <v>293</v>
      </c>
      <c r="Q47" s="44">
        <v>100</v>
      </c>
    </row>
    <row r="48" spans="2:17" x14ac:dyDescent="0.5">
      <c r="B48" s="45">
        <f>IF(Table11[[#This Row],[Kelurahan]]="","",ROW(I44))</f>
        <v>44</v>
      </c>
      <c r="C48" s="53" t="s">
        <v>54</v>
      </c>
      <c r="D48" s="53" t="str">
        <f>INDEX(Table2[Kecamatan],MATCH(Table11[[#This Row],[Kelurahan]],Table2[Kelurahan],0))</f>
        <v>Ilir Barat II</v>
      </c>
      <c r="E48" s="53" t="str">
        <f>INDEX(Table2[Kabupaten/Kota],MATCH(Table11[[#This Row],[Kecamatan]],Table2[Kecamatan],0))</f>
        <v>Palembang</v>
      </c>
      <c r="F48" s="53" t="str">
        <f>INDEX(Table2[Provinsi],MATCH(Table11[[#This Row],[Kab/Kota]],Table2[Kabupaten/Kota],0))</f>
        <v>Sumatera Selatan</v>
      </c>
      <c r="G48" s="2" t="s">
        <v>204</v>
      </c>
      <c r="H48" s="58">
        <v>1</v>
      </c>
      <c r="L48" t="s">
        <v>96</v>
      </c>
      <c r="M48" s="2" t="s">
        <v>35</v>
      </c>
      <c r="N48" s="45">
        <f t="shared" si="0"/>
        <v>3</v>
      </c>
      <c r="P48" s="87" t="s">
        <v>375</v>
      </c>
      <c r="Q48" s="44">
        <v>165</v>
      </c>
    </row>
    <row r="49" spans="2:17" x14ac:dyDescent="0.5">
      <c r="B49" s="45">
        <f>IF(Table11[[#This Row],[Kelurahan]]="","",ROW(I45))</f>
        <v>45</v>
      </c>
      <c r="C49" s="53" t="s">
        <v>68</v>
      </c>
      <c r="D49" s="53" t="str">
        <f>INDEX(Table2[Kecamatan],MATCH(Table11[[#This Row],[Kelurahan]],Table2[Kelurahan],0))</f>
        <v>Ilir Timur I</v>
      </c>
      <c r="E49" s="53" t="str">
        <f>INDEX(Table2[Kabupaten/Kota],MATCH(Table11[[#This Row],[Kecamatan]],Table2[Kecamatan],0))</f>
        <v>Palembang</v>
      </c>
      <c r="F49" s="53" t="str">
        <f>INDEX(Table2[Provinsi],MATCH(Table11[[#This Row],[Kab/Kota]],Table2[Kabupaten/Kota],0))</f>
        <v>Sumatera Selatan</v>
      </c>
      <c r="G49" s="2" t="s">
        <v>204</v>
      </c>
      <c r="H49" s="58">
        <v>1</v>
      </c>
      <c r="L49" t="s">
        <v>96</v>
      </c>
      <c r="M49" s="2" t="s">
        <v>40</v>
      </c>
      <c r="N49" s="45">
        <f t="shared" si="0"/>
        <v>5</v>
      </c>
    </row>
    <row r="50" spans="2:17" s="57" customFormat="1" x14ac:dyDescent="0.35">
      <c r="B50" s="45">
        <f>IF(Table11[[#This Row],[Kelurahan]]="","",ROW(I46))</f>
        <v>46</v>
      </c>
      <c r="C50" s="53" t="s">
        <v>100</v>
      </c>
      <c r="D50" s="53" t="str">
        <f>INDEX(Table2[Kecamatan],MATCH(Table11[[#This Row],[Kelurahan]],Table2[Kelurahan],0))</f>
        <v>Kertapati</v>
      </c>
      <c r="E50" s="53" t="str">
        <f>INDEX(Table2[Kabupaten/Kota],MATCH(Table11[[#This Row],[Kecamatan]],Table2[Kecamatan],0))</f>
        <v>Palembang</v>
      </c>
      <c r="F50" s="53" t="str">
        <f>INDEX(Table2[Provinsi],MATCH(Table11[[#This Row],[Kab/Kota]],Table2[Kabupaten/Kota],0))</f>
        <v>Sumatera Selatan</v>
      </c>
      <c r="G50" s="2" t="s">
        <v>204</v>
      </c>
      <c r="H50" s="58">
        <v>1</v>
      </c>
      <c r="J50" s="60"/>
      <c r="L50" t="s">
        <v>96</v>
      </c>
      <c r="M50" s="2" t="s">
        <v>339</v>
      </c>
      <c r="N50" s="45">
        <f t="shared" si="0"/>
        <v>3</v>
      </c>
      <c r="P50"/>
      <c r="Q50"/>
    </row>
    <row r="51" spans="2:17" x14ac:dyDescent="0.5">
      <c r="B51" s="45">
        <f>IF(Table11[[#This Row],[Kelurahan]]="","",ROW(I47))</f>
        <v>47</v>
      </c>
      <c r="C51" s="53" t="s">
        <v>564</v>
      </c>
      <c r="D51" s="53" t="str">
        <f>INDEX(Table2[Kecamatan],MATCH(Table11[[#This Row],[Kelurahan]],Table2[Kelurahan],0))</f>
        <v>Sematang Borang</v>
      </c>
      <c r="E51" s="53" t="str">
        <f>INDEX(Table2[Kabupaten/Kota],MATCH(Table11[[#This Row],[Kecamatan]],Table2[Kecamatan],0))</f>
        <v>Palembang</v>
      </c>
      <c r="F51" s="53" t="str">
        <f>INDEX(Table2[Provinsi],MATCH(Table11[[#This Row],[Kab/Kota]],Table2[Kabupaten/Kota],0))</f>
        <v>Sumatera Selatan</v>
      </c>
      <c r="G51" s="2" t="s">
        <v>204</v>
      </c>
      <c r="H51" s="58">
        <v>1</v>
      </c>
      <c r="L51" t="s">
        <v>96</v>
      </c>
      <c r="M51" s="2" t="s">
        <v>316</v>
      </c>
      <c r="N51" s="45">
        <f t="shared" si="0"/>
        <v>19</v>
      </c>
    </row>
    <row r="52" spans="2:17" x14ac:dyDescent="0.5">
      <c r="B52" s="45">
        <f>IF(Table11[[#This Row],[Kelurahan]]="","",ROW(I48))</f>
        <v>48</v>
      </c>
      <c r="C52" s="53" t="s">
        <v>129</v>
      </c>
      <c r="D52" s="53" t="str">
        <f>INDEX(Table2[Kecamatan],MATCH(Table11[[#This Row],[Kelurahan]],Table2[Kelurahan],0))</f>
        <v>Sukarami</v>
      </c>
      <c r="E52" s="53" t="str">
        <f>INDEX(Table2[Kabupaten/Kota],MATCH(Table11[[#This Row],[Kecamatan]],Table2[Kecamatan],0))</f>
        <v>Palembang</v>
      </c>
      <c r="F52" s="53" t="str">
        <f>INDEX(Table2[Provinsi],MATCH(Table11[[#This Row],[Kab/Kota]],Table2[Kabupaten/Kota],0))</f>
        <v>Sumatera Selatan</v>
      </c>
      <c r="G52" s="2" t="s">
        <v>204</v>
      </c>
      <c r="H52" s="58">
        <v>1</v>
      </c>
      <c r="L52" t="s">
        <v>96</v>
      </c>
      <c r="M52" s="2" t="s">
        <v>484</v>
      </c>
      <c r="N52" s="45">
        <f t="shared" si="0"/>
        <v>1</v>
      </c>
    </row>
    <row r="53" spans="2:17" x14ac:dyDescent="0.5">
      <c r="B53" s="45">
        <f>IF(Table11[[#This Row],[Kelurahan]]="","",ROW(I49))</f>
        <v>49</v>
      </c>
      <c r="C53" s="53" t="s">
        <v>132</v>
      </c>
      <c r="D53" s="53" t="str">
        <f>INDEX(Table2[Kecamatan],MATCH(Table11[[#This Row],[Kelurahan]],Table2[Kelurahan],0))</f>
        <v>Sukarami</v>
      </c>
      <c r="E53" s="53" t="str">
        <f>INDEX(Table2[Kabupaten/Kota],MATCH(Table11[[#This Row],[Kecamatan]],Table2[Kecamatan],0))</f>
        <v>Palembang</v>
      </c>
      <c r="F53" s="53" t="str">
        <f>INDEX(Table2[Provinsi],MATCH(Table11[[#This Row],[Kab/Kota]],Table2[Kabupaten/Kota],0))</f>
        <v>Sumatera Selatan</v>
      </c>
      <c r="G53" s="2" t="s">
        <v>204</v>
      </c>
      <c r="H53" s="58">
        <v>1</v>
      </c>
      <c r="L53" t="s">
        <v>96</v>
      </c>
      <c r="M53" s="2" t="s">
        <v>443</v>
      </c>
      <c r="N53" s="45">
        <f t="shared" si="0"/>
        <v>6</v>
      </c>
    </row>
    <row r="54" spans="2:17" x14ac:dyDescent="0.5">
      <c r="L54" t="s">
        <v>96</v>
      </c>
    </row>
    <row r="55" spans="2:17" x14ac:dyDescent="0.5">
      <c r="L55" t="s">
        <v>96</v>
      </c>
    </row>
    <row r="56" spans="2:17" x14ac:dyDescent="0.5">
      <c r="L56" t="s">
        <v>96</v>
      </c>
    </row>
    <row r="57" spans="2:17" x14ac:dyDescent="0.5">
      <c r="L57" t="s">
        <v>96</v>
      </c>
    </row>
    <row r="58" spans="2:17" x14ac:dyDescent="0.5">
      <c r="L58" t="s">
        <v>96</v>
      </c>
    </row>
    <row r="59" spans="2:17" x14ac:dyDescent="0.5">
      <c r="L59" t="s">
        <v>129</v>
      </c>
    </row>
    <row r="60" spans="2:17" x14ac:dyDescent="0.5">
      <c r="L60" t="s">
        <v>417</v>
      </c>
    </row>
    <row r="61" spans="2:17" x14ac:dyDescent="0.5">
      <c r="L61" t="s">
        <v>417</v>
      </c>
    </row>
    <row r="62" spans="2:17" x14ac:dyDescent="0.5">
      <c r="L62" t="s">
        <v>417</v>
      </c>
    </row>
    <row r="63" spans="2:17" x14ac:dyDescent="0.5">
      <c r="L63" t="s">
        <v>166</v>
      </c>
    </row>
    <row r="64" spans="2:17" x14ac:dyDescent="0.5">
      <c r="L64" t="s">
        <v>167</v>
      </c>
    </row>
    <row r="65" spans="12:12" x14ac:dyDescent="0.5">
      <c r="L65" t="s">
        <v>167</v>
      </c>
    </row>
    <row r="66" spans="12:12" x14ac:dyDescent="0.5">
      <c r="L66" t="s">
        <v>167</v>
      </c>
    </row>
    <row r="67" spans="12:12" x14ac:dyDescent="0.5">
      <c r="L67" t="s">
        <v>167</v>
      </c>
    </row>
    <row r="68" spans="12:12" x14ac:dyDescent="0.5">
      <c r="L68" t="s">
        <v>167</v>
      </c>
    </row>
    <row r="69" spans="12:12" x14ac:dyDescent="0.5">
      <c r="L69" t="s">
        <v>99</v>
      </c>
    </row>
    <row r="70" spans="12:12" x14ac:dyDescent="0.5">
      <c r="L70" t="s">
        <v>99</v>
      </c>
    </row>
    <row r="71" spans="12:12" x14ac:dyDescent="0.5">
      <c r="L71" t="s">
        <v>99</v>
      </c>
    </row>
    <row r="72" spans="12:12" x14ac:dyDescent="0.5">
      <c r="L72" t="s">
        <v>99</v>
      </c>
    </row>
    <row r="73" spans="12:12" x14ac:dyDescent="0.5">
      <c r="L73" t="s">
        <v>99</v>
      </c>
    </row>
    <row r="74" spans="12:12" x14ac:dyDescent="0.5">
      <c r="L74" t="s">
        <v>99</v>
      </c>
    </row>
    <row r="75" spans="12:12" x14ac:dyDescent="0.5">
      <c r="L75" t="s">
        <v>99</v>
      </c>
    </row>
    <row r="76" spans="12:12" x14ac:dyDescent="0.5">
      <c r="L76" t="s">
        <v>99</v>
      </c>
    </row>
    <row r="77" spans="12:12" x14ac:dyDescent="0.5">
      <c r="L77" t="s">
        <v>99</v>
      </c>
    </row>
    <row r="78" spans="12:12" x14ac:dyDescent="0.5">
      <c r="L78" t="s">
        <v>99</v>
      </c>
    </row>
    <row r="79" spans="12:12" x14ac:dyDescent="0.5">
      <c r="L79" t="s">
        <v>99</v>
      </c>
    </row>
    <row r="80" spans="12:12" x14ac:dyDescent="0.5">
      <c r="L80" t="s">
        <v>99</v>
      </c>
    </row>
    <row r="81" spans="12:12" x14ac:dyDescent="0.5">
      <c r="L81" t="s">
        <v>99</v>
      </c>
    </row>
    <row r="82" spans="12:12" x14ac:dyDescent="0.5">
      <c r="L82" t="s">
        <v>99</v>
      </c>
    </row>
    <row r="83" spans="12:12" x14ac:dyDescent="0.5">
      <c r="L83" t="s">
        <v>99</v>
      </c>
    </row>
    <row r="84" spans="12:12" x14ac:dyDescent="0.5">
      <c r="L84" t="s">
        <v>99</v>
      </c>
    </row>
    <row r="85" spans="12:12" x14ac:dyDescent="0.5">
      <c r="L85" t="s">
        <v>99</v>
      </c>
    </row>
    <row r="86" spans="12:12" x14ac:dyDescent="0.5">
      <c r="L86" t="s">
        <v>99</v>
      </c>
    </row>
    <row r="87" spans="12:12" x14ac:dyDescent="0.5">
      <c r="L87" t="s">
        <v>99</v>
      </c>
    </row>
    <row r="88" spans="12:12" x14ac:dyDescent="0.5">
      <c r="L88" t="s">
        <v>99</v>
      </c>
    </row>
    <row r="89" spans="12:12" x14ac:dyDescent="0.5">
      <c r="L89" t="s">
        <v>99</v>
      </c>
    </row>
    <row r="90" spans="12:12" x14ac:dyDescent="0.5">
      <c r="L90" t="s">
        <v>99</v>
      </c>
    </row>
    <row r="91" spans="12:12" x14ac:dyDescent="0.5">
      <c r="L91" t="s">
        <v>99</v>
      </c>
    </row>
    <row r="92" spans="12:12" x14ac:dyDescent="0.5">
      <c r="L92" t="s">
        <v>99</v>
      </c>
    </row>
    <row r="93" spans="12:12" x14ac:dyDescent="0.5">
      <c r="L93" t="s">
        <v>99</v>
      </c>
    </row>
    <row r="94" spans="12:12" x14ac:dyDescent="0.5">
      <c r="L94" t="s">
        <v>99</v>
      </c>
    </row>
    <row r="95" spans="12:12" x14ac:dyDescent="0.5">
      <c r="L95" t="s">
        <v>99</v>
      </c>
    </row>
    <row r="96" spans="12:12" x14ac:dyDescent="0.5">
      <c r="L96" t="s">
        <v>99</v>
      </c>
    </row>
    <row r="97" spans="12:12" x14ac:dyDescent="0.5">
      <c r="L97" t="s">
        <v>99</v>
      </c>
    </row>
    <row r="98" spans="12:12" x14ac:dyDescent="0.5">
      <c r="L98" t="s">
        <v>99</v>
      </c>
    </row>
    <row r="99" spans="12:12" x14ac:dyDescent="0.5">
      <c r="L99" t="s">
        <v>99</v>
      </c>
    </row>
    <row r="100" spans="12:12" x14ac:dyDescent="0.5">
      <c r="L100" t="s">
        <v>99</v>
      </c>
    </row>
    <row r="101" spans="12:12" x14ac:dyDescent="0.5">
      <c r="L101" t="s">
        <v>99</v>
      </c>
    </row>
    <row r="102" spans="12:12" x14ac:dyDescent="0.5">
      <c r="L102" t="s">
        <v>99</v>
      </c>
    </row>
    <row r="103" spans="12:12" x14ac:dyDescent="0.5">
      <c r="L103" t="s">
        <v>99</v>
      </c>
    </row>
    <row r="104" spans="12:12" x14ac:dyDescent="0.5">
      <c r="L104" t="s">
        <v>99</v>
      </c>
    </row>
    <row r="105" spans="12:12" x14ac:dyDescent="0.5">
      <c r="L105" t="s">
        <v>99</v>
      </c>
    </row>
    <row r="106" spans="12:12" x14ac:dyDescent="0.5">
      <c r="L106" t="s">
        <v>99</v>
      </c>
    </row>
    <row r="107" spans="12:12" x14ac:dyDescent="0.5">
      <c r="L107" t="s">
        <v>99</v>
      </c>
    </row>
    <row r="108" spans="12:12" x14ac:dyDescent="0.5">
      <c r="L108" t="s">
        <v>99</v>
      </c>
    </row>
    <row r="109" spans="12:12" x14ac:dyDescent="0.5">
      <c r="L109" t="s">
        <v>99</v>
      </c>
    </row>
    <row r="110" spans="12:12" x14ac:dyDescent="0.5">
      <c r="L110" t="s">
        <v>99</v>
      </c>
    </row>
    <row r="111" spans="12:12" x14ac:dyDescent="0.5">
      <c r="L111" t="s">
        <v>99</v>
      </c>
    </row>
    <row r="112" spans="12:12" x14ac:dyDescent="0.5">
      <c r="L112" t="s">
        <v>99</v>
      </c>
    </row>
    <row r="113" spans="12:12" x14ac:dyDescent="0.5">
      <c r="L113" t="s">
        <v>99</v>
      </c>
    </row>
    <row r="114" spans="12:12" x14ac:dyDescent="0.5">
      <c r="L114" t="s">
        <v>99</v>
      </c>
    </row>
    <row r="115" spans="12:12" x14ac:dyDescent="0.5">
      <c r="L115" t="s">
        <v>100</v>
      </c>
    </row>
    <row r="116" spans="12:12" x14ac:dyDescent="0.5">
      <c r="L116" t="s">
        <v>328</v>
      </c>
    </row>
    <row r="117" spans="12:12" x14ac:dyDescent="0.5">
      <c r="L117" t="s">
        <v>446</v>
      </c>
    </row>
    <row r="118" spans="12:12" x14ac:dyDescent="0.5">
      <c r="L118" t="s">
        <v>446</v>
      </c>
    </row>
    <row r="119" spans="12:12" x14ac:dyDescent="0.5">
      <c r="L119" t="s">
        <v>446</v>
      </c>
    </row>
    <row r="120" spans="12:12" x14ac:dyDescent="0.5">
      <c r="L120" t="s">
        <v>446</v>
      </c>
    </row>
    <row r="121" spans="12:12" x14ac:dyDescent="0.5">
      <c r="L121" t="s">
        <v>446</v>
      </c>
    </row>
    <row r="122" spans="12:12" x14ac:dyDescent="0.5">
      <c r="L122" t="s">
        <v>446</v>
      </c>
    </row>
    <row r="123" spans="12:12" x14ac:dyDescent="0.5">
      <c r="L123" t="s">
        <v>49</v>
      </c>
    </row>
    <row r="124" spans="12:12" x14ac:dyDescent="0.5">
      <c r="L124" t="s">
        <v>49</v>
      </c>
    </row>
    <row r="125" spans="12:12" x14ac:dyDescent="0.5">
      <c r="L125" t="s">
        <v>49</v>
      </c>
    </row>
    <row r="126" spans="12:12" x14ac:dyDescent="0.5">
      <c r="L126" t="s">
        <v>410</v>
      </c>
    </row>
    <row r="127" spans="12:12" x14ac:dyDescent="0.5">
      <c r="L127" t="s">
        <v>410</v>
      </c>
    </row>
    <row r="128" spans="12:12" x14ac:dyDescent="0.5">
      <c r="L128" t="s">
        <v>410</v>
      </c>
    </row>
    <row r="129" spans="12:12" x14ac:dyDescent="0.5">
      <c r="L129" t="s">
        <v>334</v>
      </c>
    </row>
    <row r="130" spans="12:12" x14ac:dyDescent="0.5">
      <c r="L130" t="s">
        <v>334</v>
      </c>
    </row>
    <row r="131" spans="12:12" x14ac:dyDescent="0.5">
      <c r="L131" t="s">
        <v>334</v>
      </c>
    </row>
    <row r="132" spans="12:12" x14ac:dyDescent="0.5">
      <c r="L132" t="s">
        <v>410</v>
      </c>
    </row>
    <row r="133" spans="12:12" x14ac:dyDescent="0.5">
      <c r="L133" t="s">
        <v>410</v>
      </c>
    </row>
    <row r="134" spans="12:12" x14ac:dyDescent="0.5">
      <c r="L134" t="s">
        <v>302</v>
      </c>
    </row>
    <row r="135" spans="12:12" x14ac:dyDescent="0.5">
      <c r="L135" t="s">
        <v>302</v>
      </c>
    </row>
    <row r="136" spans="12:12" x14ac:dyDescent="0.5">
      <c r="L136" t="s">
        <v>406</v>
      </c>
    </row>
    <row r="137" spans="12:12" x14ac:dyDescent="0.5">
      <c r="L137" t="s">
        <v>336</v>
      </c>
    </row>
    <row r="138" spans="12:12" x14ac:dyDescent="0.5">
      <c r="L138" t="s">
        <v>336</v>
      </c>
    </row>
    <row r="139" spans="12:12" x14ac:dyDescent="0.5">
      <c r="L139" t="s">
        <v>336</v>
      </c>
    </row>
    <row r="140" spans="12:12" x14ac:dyDescent="0.5">
      <c r="L140" t="s">
        <v>336</v>
      </c>
    </row>
    <row r="141" spans="12:12" x14ac:dyDescent="0.5">
      <c r="L141" t="s">
        <v>336</v>
      </c>
    </row>
    <row r="142" spans="12:12" x14ac:dyDescent="0.5">
      <c r="L142" t="s">
        <v>336</v>
      </c>
    </row>
    <row r="143" spans="12:12" x14ac:dyDescent="0.5">
      <c r="L143" t="s">
        <v>336</v>
      </c>
    </row>
    <row r="144" spans="12:12" x14ac:dyDescent="0.5">
      <c r="L144" t="s">
        <v>336</v>
      </c>
    </row>
    <row r="145" spans="12:12" x14ac:dyDescent="0.5">
      <c r="L145" t="s">
        <v>336</v>
      </c>
    </row>
    <row r="146" spans="12:12" x14ac:dyDescent="0.5">
      <c r="L146" t="s">
        <v>336</v>
      </c>
    </row>
    <row r="147" spans="12:12" x14ac:dyDescent="0.5">
      <c r="L147" t="s">
        <v>336</v>
      </c>
    </row>
    <row r="148" spans="12:12" x14ac:dyDescent="0.5">
      <c r="L148" t="s">
        <v>159</v>
      </c>
    </row>
    <row r="149" spans="12:12" x14ac:dyDescent="0.5">
      <c r="L149" t="s">
        <v>104</v>
      </c>
    </row>
    <row r="150" spans="12:12" x14ac:dyDescent="0.5">
      <c r="L150" t="s">
        <v>104</v>
      </c>
    </row>
    <row r="151" spans="12:12" x14ac:dyDescent="0.5">
      <c r="L151" t="s">
        <v>44</v>
      </c>
    </row>
    <row r="152" spans="12:12" x14ac:dyDescent="0.5">
      <c r="L152" t="s">
        <v>483</v>
      </c>
    </row>
    <row r="153" spans="12:12" x14ac:dyDescent="0.5">
      <c r="L153" t="s">
        <v>483</v>
      </c>
    </row>
    <row r="154" spans="12:12" x14ac:dyDescent="0.5">
      <c r="L154" t="s">
        <v>424</v>
      </c>
    </row>
    <row r="155" spans="12:12" x14ac:dyDescent="0.5">
      <c r="L155" t="s">
        <v>424</v>
      </c>
    </row>
    <row r="156" spans="12:12" x14ac:dyDescent="0.5">
      <c r="L156" t="s">
        <v>510</v>
      </c>
    </row>
    <row r="157" spans="12:12" x14ac:dyDescent="0.5">
      <c r="L157" t="s">
        <v>456</v>
      </c>
    </row>
    <row r="158" spans="12:12" x14ac:dyDescent="0.5">
      <c r="L158" t="s">
        <v>456</v>
      </c>
    </row>
    <row r="159" spans="12:12" x14ac:dyDescent="0.5">
      <c r="L159" t="s">
        <v>456</v>
      </c>
    </row>
    <row r="160" spans="12:12" x14ac:dyDescent="0.5">
      <c r="L160" t="s">
        <v>456</v>
      </c>
    </row>
    <row r="161" spans="12:12" x14ac:dyDescent="0.5">
      <c r="L161" t="s">
        <v>456</v>
      </c>
    </row>
    <row r="162" spans="12:12" x14ac:dyDescent="0.5">
      <c r="L162" t="s">
        <v>456</v>
      </c>
    </row>
    <row r="163" spans="12:12" x14ac:dyDescent="0.5">
      <c r="L163" t="s">
        <v>456</v>
      </c>
    </row>
    <row r="164" spans="12:12" x14ac:dyDescent="0.5">
      <c r="L164" t="s">
        <v>456</v>
      </c>
    </row>
    <row r="165" spans="12:12" x14ac:dyDescent="0.5">
      <c r="L165" t="s">
        <v>50</v>
      </c>
    </row>
    <row r="166" spans="12:12" x14ac:dyDescent="0.5">
      <c r="L166" t="s">
        <v>564</v>
      </c>
    </row>
    <row r="167" spans="12:12" x14ac:dyDescent="0.5">
      <c r="L167" t="s">
        <v>474</v>
      </c>
    </row>
    <row r="168" spans="12:12" x14ac:dyDescent="0.5">
      <c r="L168" t="s">
        <v>474</v>
      </c>
    </row>
    <row r="169" spans="12:12" x14ac:dyDescent="0.5">
      <c r="L169" t="s">
        <v>426</v>
      </c>
    </row>
    <row r="170" spans="12:12" x14ac:dyDescent="0.5">
      <c r="L170" t="s">
        <v>426</v>
      </c>
    </row>
    <row r="171" spans="12:12" x14ac:dyDescent="0.5">
      <c r="L171" t="s">
        <v>426</v>
      </c>
    </row>
    <row r="172" spans="12:12" x14ac:dyDescent="0.5">
      <c r="L172" t="s">
        <v>426</v>
      </c>
    </row>
    <row r="173" spans="12:12" x14ac:dyDescent="0.5">
      <c r="L173" t="s">
        <v>132</v>
      </c>
    </row>
    <row r="174" spans="12:12" x14ac:dyDescent="0.5">
      <c r="L174" t="s">
        <v>430</v>
      </c>
    </row>
    <row r="175" spans="12:12" x14ac:dyDescent="0.5">
      <c r="L175" t="s">
        <v>430</v>
      </c>
    </row>
    <row r="176" spans="12:12" x14ac:dyDescent="0.5">
      <c r="L176" t="s">
        <v>430</v>
      </c>
    </row>
    <row r="177" spans="12:12" x14ac:dyDescent="0.5">
      <c r="L177" t="s">
        <v>68</v>
      </c>
    </row>
    <row r="178" spans="12:12" x14ac:dyDescent="0.5">
      <c r="L178" t="s">
        <v>232</v>
      </c>
    </row>
    <row r="179" spans="12:12" x14ac:dyDescent="0.5">
      <c r="L179" t="s">
        <v>135</v>
      </c>
    </row>
    <row r="180" spans="12:12" x14ac:dyDescent="0.5">
      <c r="L180" t="s">
        <v>561</v>
      </c>
    </row>
    <row r="181" spans="12:12" x14ac:dyDescent="0.5">
      <c r="L181" t="s">
        <v>35</v>
      </c>
    </row>
    <row r="182" spans="12:12" x14ac:dyDescent="0.5">
      <c r="L182" t="s">
        <v>35</v>
      </c>
    </row>
    <row r="183" spans="12:12" x14ac:dyDescent="0.5">
      <c r="L183" t="s">
        <v>35</v>
      </c>
    </row>
    <row r="184" spans="12:12" x14ac:dyDescent="0.5">
      <c r="L184" t="s">
        <v>40</v>
      </c>
    </row>
    <row r="185" spans="12:12" x14ac:dyDescent="0.5">
      <c r="L185" t="s">
        <v>40</v>
      </c>
    </row>
    <row r="186" spans="12:12" x14ac:dyDescent="0.5">
      <c r="L186" t="s">
        <v>40</v>
      </c>
    </row>
    <row r="187" spans="12:12" x14ac:dyDescent="0.5">
      <c r="L187" t="s">
        <v>40</v>
      </c>
    </row>
    <row r="188" spans="12:12" x14ac:dyDescent="0.5">
      <c r="L188" t="s">
        <v>40</v>
      </c>
    </row>
    <row r="189" spans="12:12" x14ac:dyDescent="0.5">
      <c r="L189" t="s">
        <v>339</v>
      </c>
    </row>
    <row r="190" spans="12:12" x14ac:dyDescent="0.5">
      <c r="L190" t="s">
        <v>339</v>
      </c>
    </row>
    <row r="191" spans="12:12" x14ac:dyDescent="0.5">
      <c r="L191" t="s">
        <v>339</v>
      </c>
    </row>
    <row r="192" spans="12:12" x14ac:dyDescent="0.5">
      <c r="L192" t="s">
        <v>316</v>
      </c>
    </row>
    <row r="193" spans="12:12" x14ac:dyDescent="0.5">
      <c r="L193" t="s">
        <v>316</v>
      </c>
    </row>
    <row r="194" spans="12:12" x14ac:dyDescent="0.5">
      <c r="L194" t="s">
        <v>316</v>
      </c>
    </row>
    <row r="195" spans="12:12" x14ac:dyDescent="0.5">
      <c r="L195" t="s">
        <v>316</v>
      </c>
    </row>
    <row r="196" spans="12:12" x14ac:dyDescent="0.5">
      <c r="L196" t="s">
        <v>316</v>
      </c>
    </row>
    <row r="197" spans="12:12" x14ac:dyDescent="0.5">
      <c r="L197" t="s">
        <v>316</v>
      </c>
    </row>
    <row r="198" spans="12:12" x14ac:dyDescent="0.5">
      <c r="L198" t="s">
        <v>316</v>
      </c>
    </row>
    <row r="199" spans="12:12" x14ac:dyDescent="0.5">
      <c r="L199" t="s">
        <v>316</v>
      </c>
    </row>
    <row r="200" spans="12:12" x14ac:dyDescent="0.5">
      <c r="L200" t="s">
        <v>316</v>
      </c>
    </row>
    <row r="201" spans="12:12" x14ac:dyDescent="0.5">
      <c r="L201" t="s">
        <v>316</v>
      </c>
    </row>
    <row r="202" spans="12:12" x14ac:dyDescent="0.5">
      <c r="L202" t="s">
        <v>316</v>
      </c>
    </row>
    <row r="203" spans="12:12" x14ac:dyDescent="0.5">
      <c r="L203" t="s">
        <v>316</v>
      </c>
    </row>
    <row r="204" spans="12:12" x14ac:dyDescent="0.5">
      <c r="L204" t="s">
        <v>316</v>
      </c>
    </row>
    <row r="205" spans="12:12" x14ac:dyDescent="0.5">
      <c r="L205" t="s">
        <v>316</v>
      </c>
    </row>
    <row r="206" spans="12:12" x14ac:dyDescent="0.5">
      <c r="L206" t="s">
        <v>316</v>
      </c>
    </row>
    <row r="207" spans="12:12" x14ac:dyDescent="0.5">
      <c r="L207" t="s">
        <v>316</v>
      </c>
    </row>
    <row r="208" spans="12:12" x14ac:dyDescent="0.5">
      <c r="L208" t="s">
        <v>316</v>
      </c>
    </row>
    <row r="209" spans="12:12" x14ac:dyDescent="0.5">
      <c r="L209" t="s">
        <v>316</v>
      </c>
    </row>
    <row r="210" spans="12:12" x14ac:dyDescent="0.5">
      <c r="L210" t="s">
        <v>316</v>
      </c>
    </row>
    <row r="211" spans="12:12" x14ac:dyDescent="0.5">
      <c r="L211" t="s">
        <v>484</v>
      </c>
    </row>
    <row r="212" spans="12:12" x14ac:dyDescent="0.5">
      <c r="L212" t="s">
        <v>443</v>
      </c>
    </row>
    <row r="213" spans="12:12" x14ac:dyDescent="0.5">
      <c r="L213" t="s">
        <v>443</v>
      </c>
    </row>
    <row r="214" spans="12:12" x14ac:dyDescent="0.5">
      <c r="L214" t="s">
        <v>443</v>
      </c>
    </row>
    <row r="215" spans="12:12" x14ac:dyDescent="0.5">
      <c r="L215" t="s">
        <v>443</v>
      </c>
    </row>
    <row r="216" spans="12:12" x14ac:dyDescent="0.5">
      <c r="L216" t="s">
        <v>443</v>
      </c>
    </row>
    <row r="217" spans="12:12" x14ac:dyDescent="0.5">
      <c r="L217" t="s">
        <v>443</v>
      </c>
    </row>
  </sheetData>
  <sortState xmlns:xlrd2="http://schemas.microsoft.com/office/spreadsheetml/2017/richdata2" ref="P5:Q48">
    <sortCondition ref="P4:P48"/>
  </sortState>
  <mergeCells count="3">
    <mergeCell ref="B2:H2"/>
    <mergeCell ref="L2:N2"/>
    <mergeCell ref="P2:Q2"/>
  </mergeCells>
  <dataValidations count="1">
    <dataValidation type="list" allowBlank="1" showInputMessage="1" showErrorMessage="1" sqref="C5:C53" xr:uid="{3C8E6497-4870-4F73-B30C-E9FA7AA2C37D}">
      <formula1>t_kel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5081-C22B-4F48-B5B5-F841AA445584}">
  <dimension ref="B2:O169"/>
  <sheetViews>
    <sheetView showGridLines="0" topLeftCell="A21" zoomScale="77" workbookViewId="0">
      <selection activeCell="O11" sqref="O11"/>
    </sheetView>
  </sheetViews>
  <sheetFormatPr defaultRowHeight="14.5" x14ac:dyDescent="0.35"/>
  <cols>
    <col min="1" max="1" width="4.6328125" customWidth="1"/>
    <col min="2" max="2" width="6.81640625" customWidth="1"/>
    <col min="3" max="3" width="35.36328125" bestFit="1" customWidth="1"/>
    <col min="4" max="4" width="32.7265625" bestFit="1" customWidth="1"/>
    <col min="6" max="6" width="32.54296875" bestFit="1" customWidth="1"/>
    <col min="9" max="9" width="23.453125" bestFit="1" customWidth="1"/>
    <col min="10" max="11" width="20.54296875" customWidth="1"/>
    <col min="12" max="12" width="23" bestFit="1" customWidth="1"/>
    <col min="14" max="14" width="6.6328125" customWidth="1"/>
    <col min="15" max="15" width="26.26953125" bestFit="1" customWidth="1"/>
  </cols>
  <sheetData>
    <row r="2" spans="2:15" x14ac:dyDescent="0.35">
      <c r="B2" s="3" t="s">
        <v>14</v>
      </c>
      <c r="H2" s="3" t="s">
        <v>27</v>
      </c>
      <c r="N2" s="3" t="s">
        <v>210</v>
      </c>
    </row>
    <row r="3" spans="2:15" x14ac:dyDescent="0.35">
      <c r="B3" t="s">
        <v>15</v>
      </c>
      <c r="C3" t="s">
        <v>16</v>
      </c>
      <c r="D3" t="s">
        <v>11</v>
      </c>
      <c r="F3" s="5" t="s">
        <v>11</v>
      </c>
      <c r="H3" t="s">
        <v>28</v>
      </c>
      <c r="I3" t="s">
        <v>29</v>
      </c>
      <c r="J3" t="s">
        <v>30</v>
      </c>
      <c r="K3" t="s">
        <v>151</v>
      </c>
      <c r="L3" t="s">
        <v>31</v>
      </c>
      <c r="N3" t="s">
        <v>28</v>
      </c>
      <c r="O3" t="s">
        <v>210</v>
      </c>
    </row>
    <row r="4" spans="2:15" x14ac:dyDescent="0.35">
      <c r="B4" s="2">
        <f>IF(Table5[[#This Row],[NAMA PROGRAM]]="","",ROW(H1))</f>
        <v>1</v>
      </c>
      <c r="C4" s="2" t="s">
        <v>165</v>
      </c>
      <c r="D4" s="2" t="s">
        <v>13</v>
      </c>
      <c r="F4" s="48" t="s">
        <v>13</v>
      </c>
      <c r="H4">
        <f>IF(Table2[[#This Row],[Kelurahan]]="","",ROW(M1))</f>
        <v>1</v>
      </c>
      <c r="I4" t="s">
        <v>313</v>
      </c>
      <c r="J4" t="s">
        <v>314</v>
      </c>
      <c r="K4" t="s">
        <v>289</v>
      </c>
      <c r="L4" t="s">
        <v>290</v>
      </c>
      <c r="N4">
        <f>IF(Table13[[#This Row],[Sasaran PM]]="","",ROW(Q1))</f>
        <v>1</v>
      </c>
      <c r="O4" t="s">
        <v>211</v>
      </c>
    </row>
    <row r="5" spans="2:15" x14ac:dyDescent="0.35">
      <c r="B5" s="2">
        <f>IF(Table5[[#This Row],[NAMA PROGRAM]]="","",ROW(H2))</f>
        <v>2</v>
      </c>
      <c r="C5" s="2" t="s">
        <v>171</v>
      </c>
      <c r="D5" s="2" t="s">
        <v>13</v>
      </c>
      <c r="F5" s="49" t="s">
        <v>238</v>
      </c>
      <c r="H5">
        <f>IF(Table2[[#This Row],[Kelurahan]]="","",ROW(M2))</f>
        <v>2</v>
      </c>
      <c r="I5" t="s">
        <v>298</v>
      </c>
      <c r="J5" t="s">
        <v>299</v>
      </c>
      <c r="K5" t="s">
        <v>289</v>
      </c>
      <c r="L5" t="s">
        <v>290</v>
      </c>
      <c r="N5">
        <f>IF(Table13[[#This Row],[Sasaran PM]]="","",ROW(Q2))</f>
        <v>2</v>
      </c>
      <c r="O5" t="s">
        <v>212</v>
      </c>
    </row>
    <row r="6" spans="2:15" x14ac:dyDescent="0.35">
      <c r="B6" s="2">
        <f>IF(Table5[[#This Row],[NAMA PROGRAM]]="","",ROW(H3))</f>
        <v>3</v>
      </c>
      <c r="C6" s="2" t="s">
        <v>207</v>
      </c>
      <c r="D6" s="2" t="s">
        <v>13</v>
      </c>
      <c r="F6" s="49" t="s">
        <v>172</v>
      </c>
      <c r="H6">
        <f>IF(Table2[[#This Row],[Kelurahan]]="","",ROW(M3))</f>
        <v>3</v>
      </c>
      <c r="I6" t="s">
        <v>302</v>
      </c>
      <c r="J6" t="s">
        <v>299</v>
      </c>
      <c r="K6" t="s">
        <v>289</v>
      </c>
      <c r="L6" t="s">
        <v>290</v>
      </c>
      <c r="N6">
        <f>IF(Table13[[#This Row],[Sasaran PM]]="","",ROW(Q3))</f>
        <v>3</v>
      </c>
      <c r="O6" t="s">
        <v>213</v>
      </c>
    </row>
    <row r="7" spans="2:15" x14ac:dyDescent="0.35">
      <c r="B7" s="2">
        <f>IF(Table5[[#This Row],[NAMA PROGRAM]]="","",ROW(H4))</f>
        <v>4</v>
      </c>
      <c r="C7" s="2" t="s">
        <v>208</v>
      </c>
      <c r="D7" s="2" t="s">
        <v>13</v>
      </c>
      <c r="F7" s="50" t="s">
        <v>1</v>
      </c>
      <c r="H7">
        <f>IF(Table2[[#This Row],[Kelurahan]]="","",ROW(M4))</f>
        <v>4</v>
      </c>
      <c r="I7" t="s">
        <v>303</v>
      </c>
      <c r="J7" t="s">
        <v>299</v>
      </c>
      <c r="K7" t="s">
        <v>289</v>
      </c>
      <c r="L7" t="s">
        <v>290</v>
      </c>
      <c r="N7">
        <f>IF(Table13[[#This Row],[Sasaran PM]]="","",ROW(Q4))</f>
        <v>4</v>
      </c>
      <c r="O7" t="s">
        <v>214</v>
      </c>
    </row>
    <row r="8" spans="2:15" x14ac:dyDescent="0.35">
      <c r="B8" s="2">
        <f>IF(Table5[[#This Row],[NAMA PROGRAM]]="","",ROW(H5))</f>
        <v>5</v>
      </c>
      <c r="C8" s="2" t="s">
        <v>209</v>
      </c>
      <c r="D8" s="2" t="s">
        <v>13</v>
      </c>
      <c r="F8" s="50" t="s">
        <v>12</v>
      </c>
      <c r="H8">
        <f>IF(Table2[[#This Row],[Kelurahan]]="","",ROW(M5))</f>
        <v>5</v>
      </c>
      <c r="I8" t="s">
        <v>321</v>
      </c>
      <c r="J8" t="s">
        <v>299</v>
      </c>
      <c r="K8" t="s">
        <v>289</v>
      </c>
      <c r="L8" t="s">
        <v>290</v>
      </c>
      <c r="N8">
        <f>IF(Table13[[#This Row],[Sasaran PM]]="","",ROW(Q5))</f>
        <v>5</v>
      </c>
      <c r="O8" t="s">
        <v>215</v>
      </c>
    </row>
    <row r="9" spans="2:15" x14ac:dyDescent="0.35">
      <c r="B9" s="2">
        <f>IF(Table5[[#This Row],[NAMA PROGRAM]]="","",ROW(H6))</f>
        <v>6</v>
      </c>
      <c r="C9" s="2" t="s">
        <v>223</v>
      </c>
      <c r="D9" s="2" t="s">
        <v>13</v>
      </c>
      <c r="F9" s="50" t="s">
        <v>4</v>
      </c>
      <c r="H9">
        <f>IF(Table2[[#This Row],[Kelurahan]]="","",ROW(M6))</f>
        <v>6</v>
      </c>
      <c r="I9" t="s">
        <v>316</v>
      </c>
      <c r="J9" t="s">
        <v>317</v>
      </c>
      <c r="K9" t="s">
        <v>289</v>
      </c>
      <c r="L9" t="s">
        <v>290</v>
      </c>
      <c r="N9">
        <f>IF(Table13[[#This Row],[Sasaran PM]]="","",ROW(Q6))</f>
        <v>6</v>
      </c>
      <c r="O9" t="s">
        <v>216</v>
      </c>
    </row>
    <row r="10" spans="2:15" x14ac:dyDescent="0.35">
      <c r="B10" s="2">
        <f>IF(Table5[[#This Row],[NAMA PROGRAM]]="","",ROW(H7))</f>
        <v>7</v>
      </c>
      <c r="C10" s="2" t="s">
        <v>224</v>
      </c>
      <c r="D10" s="2" t="s">
        <v>13</v>
      </c>
      <c r="F10" s="50" t="s">
        <v>325</v>
      </c>
      <c r="H10">
        <f>IF(Table2[[#This Row],[Kelurahan]]="","",ROW(M7))</f>
        <v>7</v>
      </c>
      <c r="I10" t="s">
        <v>306</v>
      </c>
      <c r="J10" t="s">
        <v>295</v>
      </c>
      <c r="K10" t="s">
        <v>289</v>
      </c>
      <c r="L10" t="s">
        <v>290</v>
      </c>
      <c r="N10">
        <f>IF(Table13[[#This Row],[Sasaran PM]]="","",ROW(Q7))</f>
        <v>7</v>
      </c>
      <c r="O10" t="s">
        <v>217</v>
      </c>
    </row>
    <row r="11" spans="2:15" x14ac:dyDescent="0.35">
      <c r="B11" s="2">
        <f>IF(Table5[[#This Row],[NAMA PROGRAM]]="","",ROW(H8))</f>
        <v>8</v>
      </c>
      <c r="C11" s="2" t="s">
        <v>230</v>
      </c>
      <c r="D11" s="2" t="s">
        <v>13</v>
      </c>
      <c r="F11" s="50" t="s">
        <v>258</v>
      </c>
      <c r="H11">
        <f>IF(Table2[[#This Row],[Kelurahan]]="","",ROW(M8))</f>
        <v>8</v>
      </c>
      <c r="I11" t="s">
        <v>319</v>
      </c>
      <c r="J11" t="s">
        <v>288</v>
      </c>
      <c r="K11" t="s">
        <v>289</v>
      </c>
      <c r="L11" t="s">
        <v>290</v>
      </c>
      <c r="N11">
        <f>IF(Table13[[#This Row],[Sasaran PM]]="","",ROW(Q8))</f>
        <v>8</v>
      </c>
      <c r="O11" t="s">
        <v>218</v>
      </c>
    </row>
    <row r="12" spans="2:15" x14ac:dyDescent="0.35">
      <c r="B12" s="2">
        <f>IF(Table5[[#This Row],[NAMA PROGRAM]]="","",ROW(H9))</f>
        <v>9</v>
      </c>
      <c r="C12" s="2" t="s">
        <v>233</v>
      </c>
      <c r="D12" s="2" t="s">
        <v>13</v>
      </c>
      <c r="F12" s="50" t="s">
        <v>257</v>
      </c>
      <c r="H12">
        <f>IF(Table2[[#This Row],[Kelurahan]]="","",ROW(M9))</f>
        <v>9</v>
      </c>
      <c r="I12" t="s">
        <v>315</v>
      </c>
      <c r="J12" t="s">
        <v>288</v>
      </c>
      <c r="K12" t="s">
        <v>289</v>
      </c>
      <c r="L12" t="s">
        <v>290</v>
      </c>
      <c r="N12">
        <f>IF(Table13[[#This Row],[Sasaran PM]]="","",ROW(Q9))</f>
        <v>9</v>
      </c>
      <c r="O12" t="s">
        <v>219</v>
      </c>
    </row>
    <row r="13" spans="2:15" x14ac:dyDescent="0.35">
      <c r="B13" s="4">
        <f>IF(Table5[[#This Row],[NAMA PROGRAM]]="","",ROW(H10))</f>
        <v>10</v>
      </c>
      <c r="C13" s="4" t="s">
        <v>234</v>
      </c>
      <c r="D13" s="4" t="s">
        <v>13</v>
      </c>
      <c r="F13" s="50" t="s">
        <v>256</v>
      </c>
      <c r="H13">
        <f>IF(Table2[[#This Row],[Kelurahan]]="","",ROW(M10))</f>
        <v>10</v>
      </c>
      <c r="I13" t="s">
        <v>287</v>
      </c>
      <c r="J13" t="s">
        <v>288</v>
      </c>
      <c r="K13" t="s">
        <v>289</v>
      </c>
      <c r="L13" t="s">
        <v>290</v>
      </c>
      <c r="N13">
        <f>IF(Table13[[#This Row],[Sasaran PM]]="","",ROW(Q10))</f>
        <v>10</v>
      </c>
      <c r="O13" t="s">
        <v>220</v>
      </c>
    </row>
    <row r="14" spans="2:15" x14ac:dyDescent="0.35">
      <c r="B14" s="4">
        <f>IF(Table5[[#This Row],[NAMA PROGRAM]]="","",ROW(H11))</f>
        <v>11</v>
      </c>
      <c r="C14" s="4" t="s">
        <v>309</v>
      </c>
      <c r="D14" s="4" t="s">
        <v>13</v>
      </c>
      <c r="F14" s="50" t="s">
        <v>262</v>
      </c>
      <c r="H14">
        <f>IF(Table2[[#This Row],[Kelurahan]]="","",ROW(M11))</f>
        <v>11</v>
      </c>
      <c r="I14" t="s">
        <v>300</v>
      </c>
      <c r="J14" t="s">
        <v>301</v>
      </c>
      <c r="K14" t="s">
        <v>289</v>
      </c>
      <c r="L14" t="s">
        <v>290</v>
      </c>
      <c r="N14">
        <f>IF(Table13[[#This Row],[Sasaran PM]]="","",ROW(Q11))</f>
        <v>11</v>
      </c>
      <c r="O14" t="s">
        <v>221</v>
      </c>
    </row>
    <row r="15" spans="2:15" x14ac:dyDescent="0.35">
      <c r="B15" s="4">
        <f>IF(Table5[[#This Row],[NAMA PROGRAM]]="","",ROW(H12))</f>
        <v>12</v>
      </c>
      <c r="C15" s="4" t="s">
        <v>310</v>
      </c>
      <c r="D15" s="4" t="s">
        <v>13</v>
      </c>
      <c r="F15" s="50" t="s">
        <v>326</v>
      </c>
      <c r="H15">
        <f>IF(Table2[[#This Row],[Kelurahan]]="","",ROW(M12))</f>
        <v>12</v>
      </c>
      <c r="I15" t="s">
        <v>294</v>
      </c>
      <c r="J15" t="s">
        <v>295</v>
      </c>
      <c r="K15" t="s">
        <v>296</v>
      </c>
      <c r="L15" t="s">
        <v>290</v>
      </c>
      <c r="N15">
        <f>IF(Table13[[#This Row],[Sasaran PM]]="","",ROW(Q12))</f>
        <v>12</v>
      </c>
      <c r="O15" t="s">
        <v>225</v>
      </c>
    </row>
    <row r="16" spans="2:15" x14ac:dyDescent="0.35">
      <c r="B16" s="4">
        <f>IF(Table5[[#This Row],[NAMA PROGRAM]]="","",ROW(H13))</f>
        <v>13</v>
      </c>
      <c r="C16" s="4" t="s">
        <v>237</v>
      </c>
      <c r="D16" s="4" t="s">
        <v>238</v>
      </c>
      <c r="F16" s="50" t="s">
        <v>10</v>
      </c>
      <c r="H16">
        <f>IF(Table2[[#This Row],[Kelurahan]]="","",ROW(M13))</f>
        <v>13</v>
      </c>
      <c r="I16" t="s">
        <v>291</v>
      </c>
      <c r="J16" t="s">
        <v>280</v>
      </c>
      <c r="K16" t="s">
        <v>281</v>
      </c>
      <c r="L16" t="s">
        <v>282</v>
      </c>
      <c r="N16">
        <f>IF(Table13[[#This Row],[Sasaran PM]]="","",ROW(Q13))</f>
        <v>13</v>
      </c>
      <c r="O16" t="s">
        <v>246</v>
      </c>
    </row>
    <row r="17" spans="2:12" x14ac:dyDescent="0.35">
      <c r="B17" s="4">
        <f>IF(Table5[[#This Row],[NAMA PROGRAM]]="","",ROW(H14))</f>
        <v>14</v>
      </c>
      <c r="C17" s="4" t="s">
        <v>239</v>
      </c>
      <c r="D17" s="4" t="s">
        <v>238</v>
      </c>
      <c r="F17" s="50"/>
      <c r="H17">
        <f>IF(Table2[[#This Row],[Kelurahan]]="","",ROW(M14))</f>
        <v>14</v>
      </c>
      <c r="I17" t="s">
        <v>279</v>
      </c>
      <c r="J17" t="s">
        <v>280</v>
      </c>
      <c r="K17" t="s">
        <v>281</v>
      </c>
      <c r="L17" t="s">
        <v>282</v>
      </c>
    </row>
    <row r="18" spans="2:12" x14ac:dyDescent="0.35">
      <c r="B18" s="4">
        <f>IF(Table5[[#This Row],[NAMA PROGRAM]]="","",ROW(H15))</f>
        <v>15</v>
      </c>
      <c r="C18" s="4" t="s">
        <v>250</v>
      </c>
      <c r="D18" s="4" t="s">
        <v>238</v>
      </c>
      <c r="H18">
        <f>IF(Table2[[#This Row],[Kelurahan]]="","",ROW(M15))</f>
        <v>15</v>
      </c>
      <c r="I18" t="s">
        <v>175</v>
      </c>
      <c r="J18" t="s">
        <v>87</v>
      </c>
      <c r="K18" t="s">
        <v>156</v>
      </c>
      <c r="L18" t="s">
        <v>150</v>
      </c>
    </row>
    <row r="19" spans="2:12" x14ac:dyDescent="0.35">
      <c r="B19" s="4">
        <f>IF(Table5[[#This Row],[NAMA PROGRAM]]="","",ROW(H16))</f>
        <v>16</v>
      </c>
      <c r="C19" s="4" t="s">
        <v>174</v>
      </c>
      <c r="D19" s="4" t="s">
        <v>172</v>
      </c>
      <c r="H19">
        <f>IF(Table2[[#This Row],[Kelurahan]]="","",ROW(M16))</f>
        <v>16</v>
      </c>
      <c r="I19" t="s">
        <v>166</v>
      </c>
      <c r="J19" t="s">
        <v>35</v>
      </c>
      <c r="K19" t="s">
        <v>156</v>
      </c>
      <c r="L19" t="s">
        <v>150</v>
      </c>
    </row>
    <row r="20" spans="2:12" x14ac:dyDescent="0.35">
      <c r="B20" s="4">
        <f>IF(Table5[[#This Row],[NAMA PROGRAM]]="","",ROW(H17))</f>
        <v>17</v>
      </c>
      <c r="C20" s="4" t="s">
        <v>173</v>
      </c>
      <c r="D20" s="4" t="s">
        <v>172</v>
      </c>
      <c r="H20">
        <f>IF(Table2[[#This Row],[Kelurahan]]="","",ROW(M17))</f>
        <v>17</v>
      </c>
      <c r="I20" t="s">
        <v>167</v>
      </c>
      <c r="J20" t="s">
        <v>35</v>
      </c>
      <c r="K20" t="s">
        <v>156</v>
      </c>
      <c r="L20" t="s">
        <v>150</v>
      </c>
    </row>
    <row r="21" spans="2:12" x14ac:dyDescent="0.35">
      <c r="B21" s="4">
        <f>IF(Table5[[#This Row],[NAMA PROGRAM]]="","",ROW(H18))</f>
        <v>18</v>
      </c>
      <c r="C21" s="4" t="s">
        <v>9</v>
      </c>
      <c r="D21" s="4" t="s">
        <v>1</v>
      </c>
      <c r="H21">
        <f>IF(Table2[[#This Row],[Kelurahan]]="","",ROW(M18))</f>
        <v>18</v>
      </c>
      <c r="I21" t="s">
        <v>155</v>
      </c>
      <c r="J21" t="s">
        <v>35</v>
      </c>
      <c r="K21" t="s">
        <v>156</v>
      </c>
      <c r="L21" t="s">
        <v>150</v>
      </c>
    </row>
    <row r="22" spans="2:12" x14ac:dyDescent="0.35">
      <c r="B22" s="4">
        <f>IF(Table5[[#This Row],[NAMA PROGRAM]]="","",ROW(H19))</f>
        <v>19</v>
      </c>
      <c r="C22" s="4" t="s">
        <v>0</v>
      </c>
      <c r="D22" s="4" t="s">
        <v>1</v>
      </c>
      <c r="H22">
        <f>IF(Table2[[#This Row],[Kelurahan]]="","",ROW(M19))</f>
        <v>19</v>
      </c>
      <c r="I22" t="s">
        <v>232</v>
      </c>
      <c r="J22" t="s">
        <v>35</v>
      </c>
      <c r="K22" t="s">
        <v>156</v>
      </c>
      <c r="L22" t="s">
        <v>150</v>
      </c>
    </row>
    <row r="23" spans="2:12" x14ac:dyDescent="0.35">
      <c r="B23" s="4">
        <f>IF(Table5[[#This Row],[NAMA PROGRAM]]="","",ROW(H20))</f>
        <v>20</v>
      </c>
      <c r="C23" s="4" t="s">
        <v>17</v>
      </c>
      <c r="D23" s="4" t="s">
        <v>1</v>
      </c>
      <c r="H23">
        <f>IF(Table2[[#This Row],[Kelurahan]]="","",ROW(M20))</f>
        <v>20</v>
      </c>
      <c r="I23" t="s">
        <v>169</v>
      </c>
      <c r="J23" t="s">
        <v>35</v>
      </c>
      <c r="K23" t="s">
        <v>156</v>
      </c>
      <c r="L23" t="s">
        <v>150</v>
      </c>
    </row>
    <row r="24" spans="2:12" x14ac:dyDescent="0.35">
      <c r="B24" s="4">
        <f>IF(Table5[[#This Row],[NAMA PROGRAM]]="","",ROW(H21))</f>
        <v>21</v>
      </c>
      <c r="C24" s="4" t="s">
        <v>18</v>
      </c>
      <c r="D24" s="4" t="s">
        <v>1</v>
      </c>
      <c r="H24">
        <f>IF(Table2[[#This Row],[Kelurahan]]="","",ROW(M21))</f>
        <v>21</v>
      </c>
      <c r="I24" t="s">
        <v>269</v>
      </c>
      <c r="J24" t="s">
        <v>266</v>
      </c>
      <c r="K24" t="s">
        <v>267</v>
      </c>
      <c r="L24" t="s">
        <v>268</v>
      </c>
    </row>
    <row r="25" spans="2:12" x14ac:dyDescent="0.35">
      <c r="B25" s="4">
        <f>IF(Table5[[#This Row],[NAMA PROGRAM]]="","",ROW(H22))</f>
        <v>22</v>
      </c>
      <c r="C25" s="4" t="s">
        <v>20</v>
      </c>
      <c r="D25" s="4" t="s">
        <v>1</v>
      </c>
      <c r="H25">
        <f>IF(Table2[[#This Row],[Kelurahan]]="","",ROW(M22))</f>
        <v>22</v>
      </c>
      <c r="I25" t="s">
        <v>265</v>
      </c>
      <c r="J25" t="s">
        <v>266</v>
      </c>
      <c r="K25" t="s">
        <v>267</v>
      </c>
      <c r="L25" t="s">
        <v>268</v>
      </c>
    </row>
    <row r="26" spans="2:12" x14ac:dyDescent="0.35">
      <c r="B26" s="4">
        <f>IF(Table5[[#This Row],[NAMA PROGRAM]]="","",ROW(H23))</f>
        <v>23</v>
      </c>
      <c r="C26" s="4" t="s">
        <v>21</v>
      </c>
      <c r="D26" s="4" t="s">
        <v>1</v>
      </c>
      <c r="H26">
        <f>IF(Table2[[#This Row],[Kelurahan]]="","",ROW(M23))</f>
        <v>23</v>
      </c>
      <c r="I26" t="s">
        <v>271</v>
      </c>
      <c r="J26" t="s">
        <v>273</v>
      </c>
      <c r="K26" t="s">
        <v>270</v>
      </c>
      <c r="L26" t="s">
        <v>272</v>
      </c>
    </row>
    <row r="27" spans="2:12" x14ac:dyDescent="0.35">
      <c r="B27" s="4">
        <f>IF(Table5[[#This Row],[NAMA PROGRAM]]="","",ROW(H24))</f>
        <v>24</v>
      </c>
      <c r="C27" s="4" t="s">
        <v>244</v>
      </c>
      <c r="D27" s="4" t="s">
        <v>1</v>
      </c>
      <c r="H27">
        <f>IF(Table2[[#This Row],[Kelurahan]]="","",ROW(M24))</f>
        <v>24</v>
      </c>
      <c r="I27" t="s">
        <v>277</v>
      </c>
      <c r="J27" t="s">
        <v>274</v>
      </c>
      <c r="K27" t="s">
        <v>270</v>
      </c>
      <c r="L27" t="s">
        <v>272</v>
      </c>
    </row>
    <row r="28" spans="2:12" x14ac:dyDescent="0.35">
      <c r="B28" s="4">
        <f>IF(Table5[[#This Row],[NAMA PROGRAM]]="","",ROW(H25))</f>
        <v>25</v>
      </c>
      <c r="C28" s="4" t="s">
        <v>153</v>
      </c>
      <c r="D28" s="4" t="s">
        <v>1</v>
      </c>
      <c r="H28">
        <f>IF(Table2[[#This Row],[Kelurahan]]="","",ROW(M25))</f>
        <v>25</v>
      </c>
      <c r="I28" t="s">
        <v>275</v>
      </c>
      <c r="J28" t="s">
        <v>274</v>
      </c>
      <c r="K28" t="s">
        <v>270</v>
      </c>
      <c r="L28" t="s">
        <v>272</v>
      </c>
    </row>
    <row r="29" spans="2:12" x14ac:dyDescent="0.35">
      <c r="B29" s="4">
        <f>IF(Table5[[#This Row],[NAMA PROGRAM]]="","",ROW(H26))</f>
        <v>26</v>
      </c>
      <c r="C29" s="4" t="s">
        <v>160</v>
      </c>
      <c r="D29" s="4" t="s">
        <v>1</v>
      </c>
      <c r="H29">
        <f>IF(Table2[[#This Row],[Kelurahan]]="","",ROW(M26))</f>
        <v>26</v>
      </c>
      <c r="I29" t="s">
        <v>278</v>
      </c>
      <c r="J29" t="s">
        <v>278</v>
      </c>
      <c r="K29" t="s">
        <v>270</v>
      </c>
      <c r="L29" t="s">
        <v>272</v>
      </c>
    </row>
    <row r="30" spans="2:12" x14ac:dyDescent="0.35">
      <c r="B30" s="4">
        <f>IF(Table5[[#This Row],[NAMA PROGRAM]]="","",ROW(H27))</f>
        <v>27</v>
      </c>
      <c r="C30" s="4" t="s">
        <v>164</v>
      </c>
      <c r="D30" s="4" t="s">
        <v>1</v>
      </c>
      <c r="H30">
        <f>IF(Table2[[#This Row],[Kelurahan]]="","",ROW(M27))</f>
        <v>27</v>
      </c>
      <c r="I30" t="s">
        <v>226</v>
      </c>
      <c r="J30" t="s">
        <v>227</v>
      </c>
      <c r="K30" t="s">
        <v>228</v>
      </c>
      <c r="L30" t="s">
        <v>150</v>
      </c>
    </row>
    <row r="31" spans="2:12" x14ac:dyDescent="0.35">
      <c r="B31" s="4">
        <f>IF(Table5[[#This Row],[NAMA PROGRAM]]="","",ROW(H28))</f>
        <v>28</v>
      </c>
      <c r="C31" s="4" t="s">
        <v>168</v>
      </c>
      <c r="D31" s="4" t="s">
        <v>1</v>
      </c>
      <c r="H31">
        <f>IF(Table2[[#This Row],[Kelurahan]]="","",ROW(M28))</f>
        <v>28</v>
      </c>
      <c r="I31" t="s">
        <v>253</v>
      </c>
      <c r="J31" t="s">
        <v>252</v>
      </c>
      <c r="K31" t="s">
        <v>158</v>
      </c>
      <c r="L31" t="s">
        <v>150</v>
      </c>
    </row>
    <row r="32" spans="2:12" x14ac:dyDescent="0.35">
      <c r="B32" s="4">
        <f>IF(Table5[[#This Row],[NAMA PROGRAM]]="","",ROW(H29))</f>
        <v>29</v>
      </c>
      <c r="C32" s="4" t="s">
        <v>222</v>
      </c>
      <c r="D32" s="4" t="s">
        <v>1</v>
      </c>
      <c r="H32">
        <f>IF(Table2[[#This Row],[Kelurahan]]="","",ROW(M29))</f>
        <v>29</v>
      </c>
      <c r="I32" t="s">
        <v>254</v>
      </c>
      <c r="J32" t="s">
        <v>255</v>
      </c>
      <c r="K32" t="s">
        <v>158</v>
      </c>
      <c r="L32" t="s">
        <v>150</v>
      </c>
    </row>
    <row r="33" spans="2:12" x14ac:dyDescent="0.35">
      <c r="B33" s="4">
        <f>IF(Table5[[#This Row],[NAMA PROGRAM]]="","",ROW(H30))</f>
        <v>30</v>
      </c>
      <c r="C33" s="4" t="s">
        <v>231</v>
      </c>
      <c r="D33" s="4" t="s">
        <v>1</v>
      </c>
      <c r="H33">
        <f>IF(Table2[[#This Row],[Kelurahan]]="","",ROW(M30))</f>
        <v>30</v>
      </c>
      <c r="I33" t="s">
        <v>159</v>
      </c>
      <c r="J33" t="s">
        <v>157</v>
      </c>
      <c r="K33" t="s">
        <v>158</v>
      </c>
      <c r="L33" t="s">
        <v>150</v>
      </c>
    </row>
    <row r="34" spans="2:12" x14ac:dyDescent="0.35">
      <c r="B34" s="4">
        <f>IF(Table5[[#This Row],[NAMA PROGRAM]]="","",ROW(H31))</f>
        <v>31</v>
      </c>
      <c r="C34" s="4" t="s">
        <v>236</v>
      </c>
      <c r="D34" s="4" t="s">
        <v>1</v>
      </c>
      <c r="H34">
        <f>IF(Table2[[#This Row],[Kelurahan]]="","",ROW(M31))</f>
        <v>31</v>
      </c>
      <c r="I34" t="s">
        <v>241</v>
      </c>
      <c r="J34" t="s">
        <v>240</v>
      </c>
      <c r="K34" t="s">
        <v>158</v>
      </c>
      <c r="L34" t="s">
        <v>150</v>
      </c>
    </row>
    <row r="35" spans="2:12" x14ac:dyDescent="0.35">
      <c r="B35" s="4">
        <f>IF(Table5[[#This Row],[NAMA PROGRAM]]="","",ROW(H32))</f>
        <v>32</v>
      </c>
      <c r="C35" s="4" t="s">
        <v>190</v>
      </c>
      <c r="D35" s="4" t="s">
        <v>1</v>
      </c>
      <c r="H35">
        <f>IF(Table2[[#This Row],[Kelurahan]]="","",ROW(M32))</f>
        <v>32</v>
      </c>
      <c r="I35" t="s">
        <v>32</v>
      </c>
      <c r="J35" t="s">
        <v>32</v>
      </c>
      <c r="K35" t="s">
        <v>152</v>
      </c>
      <c r="L35" t="s">
        <v>150</v>
      </c>
    </row>
    <row r="36" spans="2:12" x14ac:dyDescent="0.35">
      <c r="B36" s="4">
        <f>IF(Table5[[#This Row],[NAMA PROGRAM]]="","",ROW(H33))</f>
        <v>33</v>
      </c>
      <c r="C36" s="4" t="s">
        <v>6</v>
      </c>
      <c r="D36" s="4" t="s">
        <v>4</v>
      </c>
      <c r="H36">
        <f>IF(Table2[[#This Row],[Kelurahan]]="","",ROW(M33))</f>
        <v>33</v>
      </c>
      <c r="I36" t="s">
        <v>33</v>
      </c>
      <c r="J36" t="s">
        <v>32</v>
      </c>
      <c r="K36" t="s">
        <v>152</v>
      </c>
      <c r="L36" t="s">
        <v>150</v>
      </c>
    </row>
    <row r="37" spans="2:12" x14ac:dyDescent="0.35">
      <c r="B37" s="4">
        <f>IF(Table5[[#This Row],[NAMA PROGRAM]]="","",ROW(H34))</f>
        <v>34</v>
      </c>
      <c r="C37" s="4" t="s">
        <v>7</v>
      </c>
      <c r="D37" s="4" t="s">
        <v>4</v>
      </c>
      <c r="H37">
        <f>IF(Table2[[#This Row],[Kelurahan]]="","",ROW(M34))</f>
        <v>34</v>
      </c>
      <c r="I37" t="s">
        <v>34</v>
      </c>
      <c r="J37" t="s">
        <v>32</v>
      </c>
      <c r="K37" t="s">
        <v>152</v>
      </c>
      <c r="L37" t="s">
        <v>150</v>
      </c>
    </row>
    <row r="38" spans="2:12" x14ac:dyDescent="0.35">
      <c r="B38" s="4">
        <f>IF(Table5[[#This Row],[NAMA PROGRAM]]="","",ROW(H35))</f>
        <v>35</v>
      </c>
      <c r="C38" s="4" t="s">
        <v>3</v>
      </c>
      <c r="D38" s="4" t="s">
        <v>4</v>
      </c>
      <c r="H38">
        <f>IF(Table2[[#This Row],[Kelurahan]]="","",ROW(M35))</f>
        <v>35</v>
      </c>
      <c r="I38" t="s">
        <v>35</v>
      </c>
      <c r="J38" t="s">
        <v>32</v>
      </c>
      <c r="K38" t="s">
        <v>152</v>
      </c>
      <c r="L38" t="s">
        <v>150</v>
      </c>
    </row>
    <row r="39" spans="2:12" x14ac:dyDescent="0.35">
      <c r="B39" s="4">
        <f>IF(Table5[[#This Row],[NAMA PROGRAM]]="","",ROW(H36))</f>
        <v>36</v>
      </c>
      <c r="C39" s="4" t="s">
        <v>2</v>
      </c>
      <c r="D39" s="4" t="s">
        <v>4</v>
      </c>
      <c r="H39">
        <f>IF(Table2[[#This Row],[Kelurahan]]="","",ROW(M36))</f>
        <v>36</v>
      </c>
      <c r="I39" t="s">
        <v>36</v>
      </c>
      <c r="J39" t="s">
        <v>136</v>
      </c>
      <c r="K39" t="s">
        <v>152</v>
      </c>
      <c r="L39" t="s">
        <v>150</v>
      </c>
    </row>
    <row r="40" spans="2:12" x14ac:dyDescent="0.35">
      <c r="B40" s="4">
        <f>IF(Table5[[#This Row],[NAMA PROGRAM]]="","",ROW(H37))</f>
        <v>37</v>
      </c>
      <c r="C40" s="4" t="s">
        <v>251</v>
      </c>
      <c r="D40" s="4" t="s">
        <v>4</v>
      </c>
      <c r="H40">
        <f>IF(Table2[[#This Row],[Kelurahan]]="","",ROW(M37))</f>
        <v>37</v>
      </c>
      <c r="I40" t="s">
        <v>37</v>
      </c>
      <c r="J40" t="s">
        <v>136</v>
      </c>
      <c r="K40" t="s">
        <v>152</v>
      </c>
      <c r="L40" t="s">
        <v>150</v>
      </c>
    </row>
    <row r="41" spans="2:12" x14ac:dyDescent="0.35">
      <c r="B41" s="4">
        <f>IF(Table5[[#This Row],[NAMA PROGRAM]]="","",ROW(H38))</f>
        <v>38</v>
      </c>
      <c r="C41" s="4" t="s">
        <v>304</v>
      </c>
      <c r="D41" s="4" t="s">
        <v>325</v>
      </c>
      <c r="H41">
        <f>IF(Table2[[#This Row],[Kelurahan]]="","",ROW(M38))</f>
        <v>38</v>
      </c>
      <c r="I41" t="s">
        <v>137</v>
      </c>
      <c r="J41" t="s">
        <v>136</v>
      </c>
      <c r="K41" t="s">
        <v>152</v>
      </c>
      <c r="L41" t="s">
        <v>150</v>
      </c>
    </row>
    <row r="42" spans="2:12" x14ac:dyDescent="0.35">
      <c r="B42" s="4">
        <f>IF(Table5[[#This Row],[NAMA PROGRAM]]="","",ROW(H39))</f>
        <v>39</v>
      </c>
      <c r="C42" s="4" t="s">
        <v>459</v>
      </c>
      <c r="D42" s="4" t="s">
        <v>325</v>
      </c>
      <c r="H42">
        <f>IF(Table2[[#This Row],[Kelurahan]]="","",ROW(M39))</f>
        <v>39</v>
      </c>
      <c r="I42" t="s">
        <v>38</v>
      </c>
      <c r="J42" t="s">
        <v>136</v>
      </c>
      <c r="K42" t="s">
        <v>152</v>
      </c>
      <c r="L42" t="s">
        <v>150</v>
      </c>
    </row>
    <row r="43" spans="2:12" x14ac:dyDescent="0.35">
      <c r="B43" s="4">
        <f>IF(Table5[[#This Row],[NAMA PROGRAM]]="","",ROW(H40))</f>
        <v>40</v>
      </c>
      <c r="C43" s="4" t="s">
        <v>264</v>
      </c>
      <c r="D43" s="4" t="s">
        <v>258</v>
      </c>
      <c r="H43">
        <f>IF(Table2[[#This Row],[Kelurahan]]="","",ROW(M40))</f>
        <v>40</v>
      </c>
      <c r="I43" t="s">
        <v>39</v>
      </c>
      <c r="J43" t="s">
        <v>136</v>
      </c>
      <c r="K43" t="s">
        <v>152</v>
      </c>
      <c r="L43" t="s">
        <v>150</v>
      </c>
    </row>
    <row r="44" spans="2:12" x14ac:dyDescent="0.35">
      <c r="B44" s="4">
        <f>IF(Table5[[#This Row],[NAMA PROGRAM]]="","",ROW(H41))</f>
        <v>41</v>
      </c>
      <c r="C44" s="4" t="s">
        <v>276</v>
      </c>
      <c r="D44" s="4" t="s">
        <v>258</v>
      </c>
      <c r="H44">
        <f>IF(Table2[[#This Row],[Kelurahan]]="","",ROW(M41))</f>
        <v>41</v>
      </c>
      <c r="I44" t="s">
        <v>40</v>
      </c>
      <c r="J44" t="s">
        <v>136</v>
      </c>
      <c r="K44" t="s">
        <v>152</v>
      </c>
      <c r="L44" t="s">
        <v>150</v>
      </c>
    </row>
    <row r="45" spans="2:12" x14ac:dyDescent="0.35">
      <c r="B45" s="4">
        <f>IF(Table5[[#This Row],[NAMA PROGRAM]]="","",ROW(H42))</f>
        <v>42</v>
      </c>
      <c r="C45" s="4" t="s">
        <v>297</v>
      </c>
      <c r="D45" s="4" t="s">
        <v>258</v>
      </c>
      <c r="H45">
        <f>IF(Table2[[#This Row],[Kelurahan]]="","",ROW(M42))</f>
        <v>42</v>
      </c>
      <c r="I45" t="s">
        <v>41</v>
      </c>
      <c r="J45" t="s">
        <v>42</v>
      </c>
      <c r="K45" t="s">
        <v>152</v>
      </c>
      <c r="L45" t="s">
        <v>150</v>
      </c>
    </row>
    <row r="46" spans="2:12" x14ac:dyDescent="0.35">
      <c r="B46" s="4">
        <f>IF(Table5[[#This Row],[NAMA PROGRAM]]="","",ROW(H43))</f>
        <v>43</v>
      </c>
      <c r="C46" s="4" t="s">
        <v>263</v>
      </c>
      <c r="D46" s="4" t="s">
        <v>256</v>
      </c>
      <c r="H46">
        <f>IF(Table2[[#This Row],[Kelurahan]]="","",ROW(M43))</f>
        <v>43</v>
      </c>
      <c r="I46" t="s">
        <v>42</v>
      </c>
      <c r="J46" t="s">
        <v>42</v>
      </c>
      <c r="K46" t="s">
        <v>152</v>
      </c>
      <c r="L46" t="s">
        <v>150</v>
      </c>
    </row>
    <row r="47" spans="2:12" x14ac:dyDescent="0.35">
      <c r="B47" s="4">
        <f>IF(Table5[[#This Row],[NAMA PROGRAM]]="","",ROW(H44))</f>
        <v>44</v>
      </c>
      <c r="C47" s="4" t="s">
        <v>332</v>
      </c>
      <c r="D47" s="4" t="s">
        <v>256</v>
      </c>
      <c r="H47">
        <f>IF(Table2[[#This Row],[Kelurahan]]="","",ROW(M44))</f>
        <v>44</v>
      </c>
      <c r="I47" t="s">
        <v>43</v>
      </c>
      <c r="J47" t="s">
        <v>42</v>
      </c>
      <c r="K47" t="s">
        <v>152</v>
      </c>
      <c r="L47" t="s">
        <v>150</v>
      </c>
    </row>
    <row r="48" spans="2:12" x14ac:dyDescent="0.35">
      <c r="B48" s="4">
        <f>IF(Table5[[#This Row],[NAMA PROGRAM]]="","",ROW(H45))</f>
        <v>45</v>
      </c>
      <c r="C48" s="4" t="s">
        <v>320</v>
      </c>
      <c r="D48" s="4" t="s">
        <v>326</v>
      </c>
      <c r="H48">
        <f>IF(Table2[[#This Row],[Kelurahan]]="","",ROW(M45))</f>
        <v>45</v>
      </c>
      <c r="I48" t="s">
        <v>138</v>
      </c>
      <c r="J48" t="s">
        <v>42</v>
      </c>
      <c r="K48" t="s">
        <v>152</v>
      </c>
      <c r="L48" t="s">
        <v>150</v>
      </c>
    </row>
    <row r="49" spans="2:12" x14ac:dyDescent="0.35">
      <c r="B49" s="4">
        <f>IF(Table5[[#This Row],[NAMA PROGRAM]]="","",ROW(H46))</f>
        <v>46</v>
      </c>
      <c r="C49" s="51" t="s">
        <v>261</v>
      </c>
      <c r="D49" s="4" t="s">
        <v>326</v>
      </c>
      <c r="H49">
        <f>IF(Table2[[#This Row],[Kelurahan]]="","",ROW(M46))</f>
        <v>46</v>
      </c>
      <c r="I49" t="s">
        <v>44</v>
      </c>
      <c r="J49" t="s">
        <v>42</v>
      </c>
      <c r="K49" t="s">
        <v>152</v>
      </c>
      <c r="L49" t="s">
        <v>150</v>
      </c>
    </row>
    <row r="50" spans="2:12" x14ac:dyDescent="0.35">
      <c r="B50" s="4">
        <f>IF(Table5[[#This Row],[NAMA PROGRAM]]="","",ROW(H47))</f>
        <v>47</v>
      </c>
      <c r="C50" s="4" t="s">
        <v>312</v>
      </c>
      <c r="D50" s="4" t="s">
        <v>326</v>
      </c>
      <c r="H50">
        <f>IF(Table2[[#This Row],[Kelurahan]]="","",ROW(M47))</f>
        <v>47</v>
      </c>
      <c r="I50" t="s">
        <v>45</v>
      </c>
      <c r="J50" t="s">
        <v>139</v>
      </c>
      <c r="K50" t="s">
        <v>152</v>
      </c>
      <c r="L50" t="s">
        <v>150</v>
      </c>
    </row>
    <row r="51" spans="2:12" x14ac:dyDescent="0.35">
      <c r="B51" s="4">
        <f>IF(Table5[[#This Row],[NAMA PROGRAM]]="","",ROW(H48))</f>
        <v>48</v>
      </c>
      <c r="C51" s="4" t="s">
        <v>345</v>
      </c>
      <c r="D51" s="4" t="s">
        <v>326</v>
      </c>
      <c r="H51">
        <f>IF(Table2[[#This Row],[Kelurahan]]="","",ROW(M48))</f>
        <v>48</v>
      </c>
      <c r="I51" t="s">
        <v>46</v>
      </c>
      <c r="J51" t="s">
        <v>139</v>
      </c>
      <c r="K51" t="s">
        <v>152</v>
      </c>
      <c r="L51" t="s">
        <v>150</v>
      </c>
    </row>
    <row r="52" spans="2:12" x14ac:dyDescent="0.35">
      <c r="B52" s="4">
        <f>IF(Table5[[#This Row],[NAMA PROGRAM]]="","",ROW(H49))</f>
        <v>49</v>
      </c>
      <c r="C52" s="4" t="s">
        <v>346</v>
      </c>
      <c r="D52" s="4" t="s">
        <v>326</v>
      </c>
      <c r="H52">
        <f>IF(Table2[[#This Row],[Kelurahan]]="","",ROW(M49))</f>
        <v>49</v>
      </c>
      <c r="I52" t="s">
        <v>47</v>
      </c>
      <c r="J52" t="s">
        <v>139</v>
      </c>
      <c r="K52" t="s">
        <v>152</v>
      </c>
      <c r="L52" t="s">
        <v>150</v>
      </c>
    </row>
    <row r="53" spans="2:12" x14ac:dyDescent="0.35">
      <c r="B53" s="4">
        <f>IF(Table5[[#This Row],[NAMA PROGRAM]]="","",ROW(H50))</f>
        <v>50</v>
      </c>
      <c r="C53" s="51" t="s">
        <v>260</v>
      </c>
      <c r="D53" s="4" t="s">
        <v>262</v>
      </c>
      <c r="H53">
        <f>IF(Table2[[#This Row],[Kelurahan]]="","",ROW(M50))</f>
        <v>50</v>
      </c>
      <c r="I53" t="s">
        <v>48</v>
      </c>
      <c r="J53" t="s">
        <v>139</v>
      </c>
      <c r="K53" t="s">
        <v>152</v>
      </c>
      <c r="L53" t="s">
        <v>150</v>
      </c>
    </row>
    <row r="54" spans="2:12" x14ac:dyDescent="0.35">
      <c r="B54" s="4">
        <f>IF(Table5[[#This Row],[NAMA PROGRAM]]="","",ROW(H51))</f>
        <v>51</v>
      </c>
      <c r="C54" s="4" t="s">
        <v>170</v>
      </c>
      <c r="D54" s="4" t="s">
        <v>262</v>
      </c>
      <c r="H54">
        <f>IF(Table2[[#This Row],[Kelurahan]]="","",ROW(M51))</f>
        <v>51</v>
      </c>
      <c r="I54" t="s">
        <v>49</v>
      </c>
      <c r="J54" t="s">
        <v>139</v>
      </c>
      <c r="K54" t="s">
        <v>152</v>
      </c>
      <c r="L54" t="s">
        <v>150</v>
      </c>
    </row>
    <row r="55" spans="2:12" x14ac:dyDescent="0.35">
      <c r="B55" s="4">
        <f>IF(Table5[[#This Row],[NAMA PROGRAM]]="","",ROW(H52))</f>
        <v>52</v>
      </c>
      <c r="C55" s="51" t="s">
        <v>259</v>
      </c>
      <c r="D55" s="4" t="s">
        <v>262</v>
      </c>
      <c r="H55">
        <f>IF(Table2[[#This Row],[Kelurahan]]="","",ROW(M52))</f>
        <v>52</v>
      </c>
      <c r="I55" t="s">
        <v>50</v>
      </c>
      <c r="J55" t="s">
        <v>139</v>
      </c>
      <c r="K55" t="s">
        <v>152</v>
      </c>
      <c r="L55" t="s">
        <v>150</v>
      </c>
    </row>
    <row r="56" spans="2:12" x14ac:dyDescent="0.35">
      <c r="B56" s="4">
        <f>IF(Table5[[#This Row],[NAMA PROGRAM]]="","",ROW(H53))</f>
        <v>53</v>
      </c>
      <c r="C56" s="4" t="s">
        <v>327</v>
      </c>
      <c r="D56" s="4" t="s">
        <v>262</v>
      </c>
      <c r="H56">
        <f>IF(Table2[[#This Row],[Kelurahan]]="","",ROW(M53))</f>
        <v>53</v>
      </c>
      <c r="I56" t="s">
        <v>51</v>
      </c>
      <c r="J56" t="s">
        <v>140</v>
      </c>
      <c r="K56" t="s">
        <v>152</v>
      </c>
      <c r="L56" t="s">
        <v>150</v>
      </c>
    </row>
    <row r="57" spans="2:12" x14ac:dyDescent="0.35">
      <c r="B57" s="4">
        <f>IF(Table5[[#This Row],[NAMA PROGRAM]]="","",ROW(H54))</f>
        <v>54</v>
      </c>
      <c r="C57" s="4" t="s">
        <v>329</v>
      </c>
      <c r="D57" s="4" t="s">
        <v>262</v>
      </c>
      <c r="H57">
        <f>IF(Table2[[#This Row],[Kelurahan]]="","",ROW(M54))</f>
        <v>54</v>
      </c>
      <c r="I57" t="s">
        <v>52</v>
      </c>
      <c r="J57" t="s">
        <v>140</v>
      </c>
      <c r="K57" t="s">
        <v>152</v>
      </c>
      <c r="L57" t="s">
        <v>150</v>
      </c>
    </row>
    <row r="58" spans="2:12" x14ac:dyDescent="0.35">
      <c r="B58" s="4">
        <f>IF(Table5[[#This Row],[NAMA PROGRAM]]="","",ROW(H55))</f>
        <v>55</v>
      </c>
      <c r="C58" s="4" t="s">
        <v>330</v>
      </c>
      <c r="D58" s="4" t="s">
        <v>262</v>
      </c>
      <c r="H58">
        <f>IF(Table2[[#This Row],[Kelurahan]]="","",ROW(M55))</f>
        <v>55</v>
      </c>
      <c r="I58" t="s">
        <v>53</v>
      </c>
      <c r="J58" t="s">
        <v>140</v>
      </c>
      <c r="K58" t="s">
        <v>152</v>
      </c>
      <c r="L58" t="s">
        <v>150</v>
      </c>
    </row>
    <row r="59" spans="2:12" x14ac:dyDescent="0.35">
      <c r="B59" s="4">
        <f>IF(Table5[[#This Row],[NAMA PROGRAM]]="","",ROW(H56))</f>
        <v>56</v>
      </c>
      <c r="C59" s="4" t="s">
        <v>397</v>
      </c>
      <c r="D59" s="4" t="s">
        <v>262</v>
      </c>
      <c r="H59">
        <f>IF(Table2[[#This Row],[Kelurahan]]="","",ROW(M56))</f>
        <v>56</v>
      </c>
      <c r="I59" t="s">
        <v>54</v>
      </c>
      <c r="J59" t="s">
        <v>140</v>
      </c>
      <c r="K59" t="s">
        <v>152</v>
      </c>
      <c r="L59" t="s">
        <v>150</v>
      </c>
    </row>
    <row r="60" spans="2:12" x14ac:dyDescent="0.35">
      <c r="B60" s="4">
        <f>IF(Table5[[#This Row],[NAMA PROGRAM]]="","",ROW(H57))</f>
        <v>57</v>
      </c>
      <c r="C60" s="4" t="s">
        <v>404</v>
      </c>
      <c r="D60" s="4" t="s">
        <v>262</v>
      </c>
      <c r="H60">
        <f>IF(Table2[[#This Row],[Kelurahan]]="","",ROW(M57))</f>
        <v>57</v>
      </c>
      <c r="I60" t="s">
        <v>55</v>
      </c>
      <c r="J60" t="s">
        <v>140</v>
      </c>
      <c r="K60" t="s">
        <v>152</v>
      </c>
      <c r="L60" t="s">
        <v>150</v>
      </c>
    </row>
    <row r="61" spans="2:12" x14ac:dyDescent="0.35">
      <c r="B61" s="4">
        <f>IF(Table5[[#This Row],[NAMA PROGRAM]]="","",ROW(H58))</f>
        <v>58</v>
      </c>
      <c r="C61" s="4" t="s">
        <v>421</v>
      </c>
      <c r="D61" s="4" t="s">
        <v>262</v>
      </c>
      <c r="H61">
        <f>IF(Table2[[#This Row],[Kelurahan]]="","",ROW(M58))</f>
        <v>58</v>
      </c>
      <c r="I61" t="s">
        <v>56</v>
      </c>
      <c r="J61" t="s">
        <v>140</v>
      </c>
      <c r="K61" t="s">
        <v>152</v>
      </c>
      <c r="L61" t="s">
        <v>150</v>
      </c>
    </row>
    <row r="62" spans="2:12" x14ac:dyDescent="0.35">
      <c r="B62" s="4">
        <f>IF(Table5[[#This Row],[NAMA PROGRAM]]="","",ROW(H59))</f>
        <v>59</v>
      </c>
      <c r="C62" s="4" t="s">
        <v>436</v>
      </c>
      <c r="D62" s="4" t="s">
        <v>262</v>
      </c>
      <c r="H62">
        <f>IF(Table2[[#This Row],[Kelurahan]]="","",ROW(M59))</f>
        <v>59</v>
      </c>
      <c r="I62" t="s">
        <v>57</v>
      </c>
      <c r="J62" t="s">
        <v>140</v>
      </c>
      <c r="K62" t="s">
        <v>152</v>
      </c>
      <c r="L62" t="s">
        <v>150</v>
      </c>
    </row>
    <row r="63" spans="2:12" x14ac:dyDescent="0.35">
      <c r="B63" s="4">
        <f>IF(Table5[[#This Row],[NAMA PROGRAM]]="","",ROW(H60))</f>
        <v>60</v>
      </c>
      <c r="C63" s="4" t="s">
        <v>447</v>
      </c>
      <c r="D63" s="4" t="s">
        <v>262</v>
      </c>
      <c r="H63">
        <f>IF(Table2[[#This Row],[Kelurahan]]="","",ROW(M60))</f>
        <v>60</v>
      </c>
      <c r="I63" t="s">
        <v>58</v>
      </c>
      <c r="J63" t="s">
        <v>141</v>
      </c>
      <c r="K63" t="s">
        <v>152</v>
      </c>
      <c r="L63" t="s">
        <v>150</v>
      </c>
    </row>
    <row r="64" spans="2:12" x14ac:dyDescent="0.35">
      <c r="B64" s="4">
        <f>IF(Table5[[#This Row],[NAMA PROGRAM]]="","",ROW(H61))</f>
        <v>61</v>
      </c>
      <c r="C64" s="4" t="s">
        <v>448</v>
      </c>
      <c r="D64" s="4" t="s">
        <v>262</v>
      </c>
      <c r="H64">
        <f>IF(Table2[[#This Row],[Kelurahan]]="","",ROW(M61))</f>
        <v>61</v>
      </c>
      <c r="I64" t="s">
        <v>59</v>
      </c>
      <c r="J64" t="s">
        <v>141</v>
      </c>
      <c r="K64" t="s">
        <v>152</v>
      </c>
      <c r="L64" t="s">
        <v>150</v>
      </c>
    </row>
    <row r="65" spans="2:12" x14ac:dyDescent="0.35">
      <c r="B65" s="4">
        <f>IF(Table5[[#This Row],[NAMA PROGRAM]]="","",ROW(H62))</f>
        <v>62</v>
      </c>
      <c r="C65" s="4" t="s">
        <v>489</v>
      </c>
      <c r="D65" s="4" t="s">
        <v>262</v>
      </c>
      <c r="H65">
        <f>IF(Table2[[#This Row],[Kelurahan]]="","",ROW(M62))</f>
        <v>62</v>
      </c>
      <c r="I65" t="s">
        <v>60</v>
      </c>
      <c r="J65" t="s">
        <v>141</v>
      </c>
      <c r="K65" t="s">
        <v>152</v>
      </c>
      <c r="L65" t="s">
        <v>150</v>
      </c>
    </row>
    <row r="66" spans="2:12" x14ac:dyDescent="0.35">
      <c r="B66" s="4">
        <f>IF(Table5[[#This Row],[NAMA PROGRAM]]="","",ROW(H63))</f>
        <v>63</v>
      </c>
      <c r="C66" s="4" t="s">
        <v>569</v>
      </c>
      <c r="D66" s="4" t="s">
        <v>262</v>
      </c>
      <c r="H66">
        <f>IF(Table2[[#This Row],[Kelurahan]]="","",ROW(M63))</f>
        <v>63</v>
      </c>
      <c r="I66" t="s">
        <v>61</v>
      </c>
      <c r="J66" t="s">
        <v>141</v>
      </c>
      <c r="K66" t="s">
        <v>152</v>
      </c>
      <c r="L66" t="s">
        <v>150</v>
      </c>
    </row>
    <row r="67" spans="2:12" x14ac:dyDescent="0.35">
      <c r="B67" s="4">
        <f>IF(Table5[[#This Row],[NAMA PROGRAM]]="","",ROW(H64))</f>
        <v>64</v>
      </c>
      <c r="C67" s="4" t="s">
        <v>580</v>
      </c>
      <c r="D67" s="4" t="s">
        <v>262</v>
      </c>
      <c r="H67">
        <f>IF(Table2[[#This Row],[Kelurahan]]="","",ROW(M64))</f>
        <v>64</v>
      </c>
      <c r="I67" t="s">
        <v>62</v>
      </c>
      <c r="J67" t="s">
        <v>141</v>
      </c>
      <c r="K67" t="s">
        <v>152</v>
      </c>
      <c r="L67" t="s">
        <v>150</v>
      </c>
    </row>
    <row r="68" spans="2:12" x14ac:dyDescent="0.35">
      <c r="B68" s="4">
        <f>IF(Table5[[#This Row],[NAMA PROGRAM]]="","",ROW(H65))</f>
        <v>65</v>
      </c>
      <c r="C68" s="4" t="s">
        <v>19</v>
      </c>
      <c r="D68" s="4" t="s">
        <v>10</v>
      </c>
      <c r="H68">
        <f>IF(Table2[[#This Row],[Kelurahan]]="","",ROW(M65))</f>
        <v>65</v>
      </c>
      <c r="I68" t="s">
        <v>63</v>
      </c>
      <c r="J68" t="s">
        <v>141</v>
      </c>
      <c r="K68" t="s">
        <v>152</v>
      </c>
      <c r="L68" t="s">
        <v>150</v>
      </c>
    </row>
    <row r="69" spans="2:12" x14ac:dyDescent="0.35">
      <c r="B69" s="4">
        <f>IF(Table5[[#This Row],[NAMA PROGRAM]]="","",ROW(H66))</f>
        <v>66</v>
      </c>
      <c r="C69" s="4" t="s">
        <v>154</v>
      </c>
      <c r="D69" s="4" t="s">
        <v>10</v>
      </c>
      <c r="H69">
        <f>IF(Table2[[#This Row],[Kelurahan]]="","",ROW(M66))</f>
        <v>66</v>
      </c>
      <c r="I69" t="s">
        <v>64</v>
      </c>
      <c r="J69" t="s">
        <v>141</v>
      </c>
      <c r="K69" t="s">
        <v>152</v>
      </c>
      <c r="L69" t="s">
        <v>150</v>
      </c>
    </row>
    <row r="70" spans="2:12" x14ac:dyDescent="0.35">
      <c r="B70" s="4">
        <f>IF(Table5[[#This Row],[NAMA PROGRAM]]="","",ROW(H67))</f>
        <v>67</v>
      </c>
      <c r="C70" s="4" t="s">
        <v>206</v>
      </c>
      <c r="D70" s="4" t="s">
        <v>10</v>
      </c>
      <c r="H70">
        <f>IF(Table2[[#This Row],[Kelurahan]]="","",ROW(M67))</f>
        <v>67</v>
      </c>
      <c r="I70" t="s">
        <v>65</v>
      </c>
      <c r="J70" t="s">
        <v>141</v>
      </c>
      <c r="K70" t="s">
        <v>152</v>
      </c>
      <c r="L70" t="s">
        <v>150</v>
      </c>
    </row>
    <row r="71" spans="2:12" x14ac:dyDescent="0.35">
      <c r="B71" s="4">
        <f>IF(Table5[[#This Row],[NAMA PROGRAM]]="","",ROW(H68))</f>
        <v>68</v>
      </c>
      <c r="C71" s="4" t="s">
        <v>235</v>
      </c>
      <c r="D71" s="4" t="s">
        <v>10</v>
      </c>
      <c r="H71">
        <f>IF(Table2[[#This Row],[Kelurahan]]="","",ROW(M68))</f>
        <v>68</v>
      </c>
      <c r="I71" t="s">
        <v>66</v>
      </c>
      <c r="J71" t="s">
        <v>141</v>
      </c>
      <c r="K71" t="s">
        <v>152</v>
      </c>
      <c r="L71" t="s">
        <v>150</v>
      </c>
    </row>
    <row r="72" spans="2:12" x14ac:dyDescent="0.35">
      <c r="H72">
        <f>IF(Table2[[#This Row],[Kelurahan]]="","",ROW(M69))</f>
        <v>69</v>
      </c>
      <c r="I72" t="s">
        <v>67</v>
      </c>
      <c r="J72" t="s">
        <v>141</v>
      </c>
      <c r="K72" t="s">
        <v>152</v>
      </c>
      <c r="L72" t="s">
        <v>150</v>
      </c>
    </row>
    <row r="73" spans="2:12" x14ac:dyDescent="0.35">
      <c r="H73">
        <f>IF(Table2[[#This Row],[Kelurahan]]="","",ROW(M70))</f>
        <v>70</v>
      </c>
      <c r="I73" t="s">
        <v>68</v>
      </c>
      <c r="J73" t="s">
        <v>141</v>
      </c>
      <c r="K73" t="s">
        <v>152</v>
      </c>
      <c r="L73" t="s">
        <v>150</v>
      </c>
    </row>
    <row r="74" spans="2:12" x14ac:dyDescent="0.35">
      <c r="H74">
        <f>IF(Table2[[#This Row],[Kelurahan]]="","",ROW(M71))</f>
        <v>71</v>
      </c>
      <c r="I74" t="s">
        <v>69</v>
      </c>
      <c r="J74" t="s">
        <v>142</v>
      </c>
      <c r="K74" t="s">
        <v>152</v>
      </c>
      <c r="L74" t="s">
        <v>150</v>
      </c>
    </row>
    <row r="75" spans="2:12" x14ac:dyDescent="0.35">
      <c r="H75">
        <f>IF(Table2[[#This Row],[Kelurahan]]="","",ROW(M72))</f>
        <v>72</v>
      </c>
      <c r="I75" t="s">
        <v>70</v>
      </c>
      <c r="J75" t="s">
        <v>142</v>
      </c>
      <c r="K75" t="s">
        <v>152</v>
      </c>
      <c r="L75" t="s">
        <v>150</v>
      </c>
    </row>
    <row r="76" spans="2:12" x14ac:dyDescent="0.35">
      <c r="H76">
        <f>IF(Table2[[#This Row],[Kelurahan]]="","",ROW(M73))</f>
        <v>73</v>
      </c>
      <c r="I76" t="s">
        <v>71</v>
      </c>
      <c r="J76" t="s">
        <v>142</v>
      </c>
      <c r="K76" t="s">
        <v>152</v>
      </c>
      <c r="L76" t="s">
        <v>150</v>
      </c>
    </row>
    <row r="77" spans="2:12" x14ac:dyDescent="0.35">
      <c r="H77">
        <f>IF(Table2[[#This Row],[Kelurahan]]="","",ROW(M74))</f>
        <v>74</v>
      </c>
      <c r="I77" t="s">
        <v>72</v>
      </c>
      <c r="J77" t="s">
        <v>142</v>
      </c>
      <c r="K77" t="s">
        <v>152</v>
      </c>
      <c r="L77" t="s">
        <v>150</v>
      </c>
    </row>
    <row r="78" spans="2:12" x14ac:dyDescent="0.35">
      <c r="H78">
        <f>IF(Table2[[#This Row],[Kelurahan]]="","",ROW(M75))</f>
        <v>75</v>
      </c>
      <c r="I78" t="s">
        <v>73</v>
      </c>
      <c r="J78" t="s">
        <v>142</v>
      </c>
      <c r="K78" t="s">
        <v>152</v>
      </c>
      <c r="L78" t="s">
        <v>150</v>
      </c>
    </row>
    <row r="79" spans="2:12" x14ac:dyDescent="0.35">
      <c r="H79">
        <f>IF(Table2[[#This Row],[Kelurahan]]="","",ROW(M76))</f>
        <v>76</v>
      </c>
      <c r="I79" t="s">
        <v>74</v>
      </c>
      <c r="J79" t="s">
        <v>142</v>
      </c>
      <c r="K79" t="s">
        <v>152</v>
      </c>
      <c r="L79" t="s">
        <v>150</v>
      </c>
    </row>
    <row r="80" spans="2:12" x14ac:dyDescent="0.35">
      <c r="H80">
        <f>IF(Table2[[#This Row],[Kelurahan]]="","",ROW(M77))</f>
        <v>77</v>
      </c>
      <c r="I80" t="s">
        <v>77</v>
      </c>
      <c r="J80" t="s">
        <v>143</v>
      </c>
      <c r="K80" t="s">
        <v>152</v>
      </c>
      <c r="L80" t="s">
        <v>150</v>
      </c>
    </row>
    <row r="81" spans="8:12" x14ac:dyDescent="0.35">
      <c r="H81">
        <f>IF(Table2[[#This Row],[Kelurahan]]="","",ROW(M78))</f>
        <v>78</v>
      </c>
      <c r="I81" t="s">
        <v>78</v>
      </c>
      <c r="J81" t="s">
        <v>143</v>
      </c>
      <c r="K81" t="s">
        <v>152</v>
      </c>
      <c r="L81" t="s">
        <v>150</v>
      </c>
    </row>
    <row r="82" spans="8:12" x14ac:dyDescent="0.35">
      <c r="H82">
        <f>IF(Table2[[#This Row],[Kelurahan]]="","",ROW(M79))</f>
        <v>79</v>
      </c>
      <c r="I82" t="s">
        <v>75</v>
      </c>
      <c r="J82" t="s">
        <v>143</v>
      </c>
      <c r="K82" t="s">
        <v>152</v>
      </c>
      <c r="L82" t="s">
        <v>150</v>
      </c>
    </row>
    <row r="83" spans="8:12" x14ac:dyDescent="0.35">
      <c r="H83">
        <f>IF(Table2[[#This Row],[Kelurahan]]="","",ROW(M80))</f>
        <v>80</v>
      </c>
      <c r="I83" t="s">
        <v>76</v>
      </c>
      <c r="J83" t="s">
        <v>143</v>
      </c>
      <c r="K83" t="s">
        <v>152</v>
      </c>
      <c r="L83" t="s">
        <v>150</v>
      </c>
    </row>
    <row r="84" spans="8:12" x14ac:dyDescent="0.35">
      <c r="H84">
        <f>IF(Table2[[#This Row],[Kelurahan]]="","",ROW(M81))</f>
        <v>81</v>
      </c>
      <c r="I84" t="s">
        <v>79</v>
      </c>
      <c r="J84" t="s">
        <v>143</v>
      </c>
      <c r="K84" t="s">
        <v>152</v>
      </c>
      <c r="L84" t="s">
        <v>150</v>
      </c>
    </row>
    <row r="85" spans="8:12" x14ac:dyDescent="0.35">
      <c r="H85">
        <f>IF(Table2[[#This Row],[Kelurahan]]="","",ROW(M82))</f>
        <v>82</v>
      </c>
      <c r="I85" t="s">
        <v>80</v>
      </c>
      <c r="J85" t="s">
        <v>143</v>
      </c>
      <c r="K85" t="s">
        <v>152</v>
      </c>
      <c r="L85" t="s">
        <v>150</v>
      </c>
    </row>
    <row r="86" spans="8:12" x14ac:dyDescent="0.35">
      <c r="H86">
        <f>IF(Table2[[#This Row],[Kelurahan]]="","",ROW(M83))</f>
        <v>83</v>
      </c>
      <c r="I86" t="s">
        <v>83</v>
      </c>
      <c r="J86" t="s">
        <v>144</v>
      </c>
      <c r="K86" t="s">
        <v>152</v>
      </c>
      <c r="L86" t="s">
        <v>150</v>
      </c>
    </row>
    <row r="87" spans="8:12" x14ac:dyDescent="0.35">
      <c r="H87">
        <f>IF(Table2[[#This Row],[Kelurahan]]="","",ROW(M84))</f>
        <v>84</v>
      </c>
      <c r="I87" t="s">
        <v>81</v>
      </c>
      <c r="J87" t="s">
        <v>144</v>
      </c>
      <c r="K87" t="s">
        <v>152</v>
      </c>
      <c r="L87" t="s">
        <v>150</v>
      </c>
    </row>
    <row r="88" spans="8:12" x14ac:dyDescent="0.35">
      <c r="H88">
        <f>IF(Table2[[#This Row],[Kelurahan]]="","",ROW(M85))</f>
        <v>85</v>
      </c>
      <c r="I88" t="s">
        <v>82</v>
      </c>
      <c r="J88" t="s">
        <v>144</v>
      </c>
      <c r="K88" t="s">
        <v>152</v>
      </c>
      <c r="L88" t="s">
        <v>150</v>
      </c>
    </row>
    <row r="89" spans="8:12" x14ac:dyDescent="0.35">
      <c r="H89">
        <f>IF(Table2[[#This Row],[Kelurahan]]="","",ROW(M86))</f>
        <v>86</v>
      </c>
      <c r="I89" t="s">
        <v>84</v>
      </c>
      <c r="J89" t="s">
        <v>144</v>
      </c>
      <c r="K89" t="s">
        <v>152</v>
      </c>
      <c r="L89" t="s">
        <v>150</v>
      </c>
    </row>
    <row r="90" spans="8:12" x14ac:dyDescent="0.35">
      <c r="H90">
        <f>IF(Table2[[#This Row],[Kelurahan]]="","",ROW(M87))</f>
        <v>87</v>
      </c>
      <c r="I90" t="s">
        <v>85</v>
      </c>
      <c r="J90" t="s">
        <v>144</v>
      </c>
      <c r="K90" t="s">
        <v>152</v>
      </c>
      <c r="L90" t="s">
        <v>150</v>
      </c>
    </row>
    <row r="91" spans="8:12" x14ac:dyDescent="0.35">
      <c r="H91">
        <f>IF(Table2[[#This Row],[Kelurahan]]="","",ROW(M88))</f>
        <v>88</v>
      </c>
      <c r="I91" t="s">
        <v>86</v>
      </c>
      <c r="J91" t="s">
        <v>87</v>
      </c>
      <c r="K91" t="s">
        <v>152</v>
      </c>
      <c r="L91" t="s">
        <v>150</v>
      </c>
    </row>
    <row r="92" spans="8:12" x14ac:dyDescent="0.35">
      <c r="H92">
        <f>IF(Table2[[#This Row],[Kelurahan]]="","",ROW(M89))</f>
        <v>89</v>
      </c>
      <c r="I92" t="s">
        <v>87</v>
      </c>
      <c r="J92" t="s">
        <v>87</v>
      </c>
      <c r="K92" t="s">
        <v>152</v>
      </c>
      <c r="L92" t="s">
        <v>150</v>
      </c>
    </row>
    <row r="93" spans="8:12" x14ac:dyDescent="0.35">
      <c r="H93">
        <f>IF(Table2[[#This Row],[Kelurahan]]="","",ROW(M90))</f>
        <v>90</v>
      </c>
      <c r="I93" t="s">
        <v>88</v>
      </c>
      <c r="J93" t="s">
        <v>87</v>
      </c>
      <c r="K93" t="s">
        <v>152</v>
      </c>
      <c r="L93" t="s">
        <v>150</v>
      </c>
    </row>
    <row r="94" spans="8:12" x14ac:dyDescent="0.35">
      <c r="H94">
        <f>IF(Table2[[#This Row],[Kelurahan]]="","",ROW(M91))</f>
        <v>91</v>
      </c>
      <c r="I94" t="s">
        <v>89</v>
      </c>
      <c r="J94" t="s">
        <v>87</v>
      </c>
      <c r="K94" t="s">
        <v>152</v>
      </c>
      <c r="L94" t="s">
        <v>150</v>
      </c>
    </row>
    <row r="95" spans="8:12" x14ac:dyDescent="0.35">
      <c r="H95">
        <f>IF(Table2[[#This Row],[Kelurahan]]="","",ROW(M92))</f>
        <v>92</v>
      </c>
      <c r="I95" t="s">
        <v>90</v>
      </c>
      <c r="J95" t="s">
        <v>87</v>
      </c>
      <c r="K95" t="s">
        <v>152</v>
      </c>
      <c r="L95" t="s">
        <v>150</v>
      </c>
    </row>
    <row r="96" spans="8:12" x14ac:dyDescent="0.35">
      <c r="H96">
        <f>IF(Table2[[#This Row],[Kelurahan]]="","",ROW(M93))</f>
        <v>93</v>
      </c>
      <c r="I96" t="s">
        <v>229</v>
      </c>
      <c r="J96" t="s">
        <v>145</v>
      </c>
      <c r="K96" t="s">
        <v>152</v>
      </c>
      <c r="L96" t="s">
        <v>150</v>
      </c>
    </row>
    <row r="97" spans="8:12" x14ac:dyDescent="0.35">
      <c r="H97">
        <f>IF(Table2[[#This Row],[Kelurahan]]="","",ROW(M94))</f>
        <v>94</v>
      </c>
      <c r="I97" t="s">
        <v>91</v>
      </c>
      <c r="J97" t="s">
        <v>145</v>
      </c>
      <c r="K97" t="s">
        <v>152</v>
      </c>
      <c r="L97" t="s">
        <v>150</v>
      </c>
    </row>
    <row r="98" spans="8:12" x14ac:dyDescent="0.35">
      <c r="H98">
        <f>IF(Table2[[#This Row],[Kelurahan]]="","",ROW(M95))</f>
        <v>95</v>
      </c>
      <c r="I98" t="s">
        <v>92</v>
      </c>
      <c r="J98" t="s">
        <v>145</v>
      </c>
      <c r="K98" t="s">
        <v>152</v>
      </c>
      <c r="L98" t="s">
        <v>150</v>
      </c>
    </row>
    <row r="99" spans="8:12" x14ac:dyDescent="0.35">
      <c r="H99">
        <f>IF(Table2[[#This Row],[Kelurahan]]="","",ROW(M96))</f>
        <v>96</v>
      </c>
      <c r="I99" t="s">
        <v>93</v>
      </c>
      <c r="J99" t="s">
        <v>145</v>
      </c>
      <c r="K99" t="s">
        <v>152</v>
      </c>
      <c r="L99" t="s">
        <v>150</v>
      </c>
    </row>
    <row r="100" spans="8:12" x14ac:dyDescent="0.35">
      <c r="H100">
        <f>IF(Table2[[#This Row],[Kelurahan]]="","",ROW(M97))</f>
        <v>97</v>
      </c>
      <c r="I100" t="s">
        <v>94</v>
      </c>
      <c r="J100" t="s">
        <v>145</v>
      </c>
      <c r="K100" t="s">
        <v>152</v>
      </c>
      <c r="L100" t="s">
        <v>150</v>
      </c>
    </row>
    <row r="101" spans="8:12" x14ac:dyDescent="0.35">
      <c r="H101">
        <f>IF(Table2[[#This Row],[Kelurahan]]="","",ROW(M98))</f>
        <v>98</v>
      </c>
      <c r="I101" t="s">
        <v>95</v>
      </c>
      <c r="J101" t="s">
        <v>145</v>
      </c>
      <c r="K101" t="s">
        <v>152</v>
      </c>
      <c r="L101" t="s">
        <v>150</v>
      </c>
    </row>
    <row r="102" spans="8:12" x14ac:dyDescent="0.35">
      <c r="H102">
        <f>IF(Table2[[#This Row],[Kelurahan]]="","",ROW(M99))</f>
        <v>99</v>
      </c>
      <c r="I102" t="s">
        <v>96</v>
      </c>
      <c r="J102" t="s">
        <v>100</v>
      </c>
      <c r="K102" t="s">
        <v>152</v>
      </c>
      <c r="L102" t="s">
        <v>150</v>
      </c>
    </row>
    <row r="103" spans="8:12" x14ac:dyDescent="0.35">
      <c r="H103">
        <f>IF(Table2[[#This Row],[Kelurahan]]="","",ROW(M100))</f>
        <v>100</v>
      </c>
      <c r="I103" t="s">
        <v>97</v>
      </c>
      <c r="J103" t="s">
        <v>100</v>
      </c>
      <c r="K103" t="s">
        <v>152</v>
      </c>
      <c r="L103" t="s">
        <v>150</v>
      </c>
    </row>
    <row r="104" spans="8:12" x14ac:dyDescent="0.35">
      <c r="H104">
        <f>IF(Table2[[#This Row],[Kelurahan]]="","",ROW(M101))</f>
        <v>101</v>
      </c>
      <c r="I104" t="s">
        <v>98</v>
      </c>
      <c r="J104" t="s">
        <v>100</v>
      </c>
      <c r="K104" t="s">
        <v>152</v>
      </c>
      <c r="L104" t="s">
        <v>150</v>
      </c>
    </row>
    <row r="105" spans="8:12" x14ac:dyDescent="0.35">
      <c r="H105">
        <f>IF(Table2[[#This Row],[Kelurahan]]="","",ROW(M102))</f>
        <v>102</v>
      </c>
      <c r="I105" t="s">
        <v>99</v>
      </c>
      <c r="J105" t="s">
        <v>100</v>
      </c>
      <c r="K105" t="s">
        <v>152</v>
      </c>
      <c r="L105" t="s">
        <v>150</v>
      </c>
    </row>
    <row r="106" spans="8:12" x14ac:dyDescent="0.35">
      <c r="H106">
        <f>IF(Table2[[#This Row],[Kelurahan]]="","",ROW(M103))</f>
        <v>103</v>
      </c>
      <c r="I106" t="s">
        <v>100</v>
      </c>
      <c r="J106" t="s">
        <v>100</v>
      </c>
      <c r="K106" t="s">
        <v>152</v>
      </c>
      <c r="L106" t="s">
        <v>150</v>
      </c>
    </row>
    <row r="107" spans="8:12" x14ac:dyDescent="0.35">
      <c r="H107">
        <f>IF(Table2[[#This Row],[Kelurahan]]="","",ROW(M104))</f>
        <v>104</v>
      </c>
      <c r="I107" t="s">
        <v>101</v>
      </c>
      <c r="J107" t="s">
        <v>100</v>
      </c>
      <c r="K107" t="s">
        <v>152</v>
      </c>
      <c r="L107" t="s">
        <v>150</v>
      </c>
    </row>
    <row r="108" spans="8:12" x14ac:dyDescent="0.35">
      <c r="H108">
        <f>IF(Table2[[#This Row],[Kelurahan]]="","",ROW(M105))</f>
        <v>105</v>
      </c>
      <c r="I108" t="s">
        <v>102</v>
      </c>
      <c r="J108" t="s">
        <v>146</v>
      </c>
      <c r="K108" t="s">
        <v>152</v>
      </c>
      <c r="L108" t="s">
        <v>150</v>
      </c>
    </row>
    <row r="109" spans="8:12" x14ac:dyDescent="0.35">
      <c r="H109">
        <f>IF(Table2[[#This Row],[Kelurahan]]="","",ROW(M106))</f>
        <v>106</v>
      </c>
      <c r="I109" t="s">
        <v>103</v>
      </c>
      <c r="J109" t="s">
        <v>146</v>
      </c>
      <c r="K109" t="s">
        <v>152</v>
      </c>
      <c r="L109" t="s">
        <v>150</v>
      </c>
    </row>
    <row r="110" spans="8:12" x14ac:dyDescent="0.35">
      <c r="H110">
        <f>IF(Table2[[#This Row],[Kelurahan]]="","",ROW(M107))</f>
        <v>107</v>
      </c>
      <c r="I110" t="s">
        <v>104</v>
      </c>
      <c r="J110" t="s">
        <v>146</v>
      </c>
      <c r="K110" t="s">
        <v>152</v>
      </c>
      <c r="L110" t="s">
        <v>150</v>
      </c>
    </row>
    <row r="111" spans="8:12" x14ac:dyDescent="0.35">
      <c r="H111">
        <f>IF(Table2[[#This Row],[Kelurahan]]="","",ROW(M108))</f>
        <v>108</v>
      </c>
      <c r="I111" t="s">
        <v>105</v>
      </c>
      <c r="J111" t="s">
        <v>146</v>
      </c>
      <c r="K111" t="s">
        <v>152</v>
      </c>
      <c r="L111" t="s">
        <v>150</v>
      </c>
    </row>
    <row r="112" spans="8:12" x14ac:dyDescent="0.35">
      <c r="H112">
        <f>IF(Table2[[#This Row],[Kelurahan]]="","",ROW(M109))</f>
        <v>109</v>
      </c>
      <c r="I112" t="s">
        <v>106</v>
      </c>
      <c r="J112" t="s">
        <v>146</v>
      </c>
      <c r="K112" t="s">
        <v>152</v>
      </c>
      <c r="L112" t="s">
        <v>150</v>
      </c>
    </row>
    <row r="113" spans="8:12" x14ac:dyDescent="0.35">
      <c r="H113">
        <f>IF(Table2[[#This Row],[Kelurahan]]="","",ROW(M110))</f>
        <v>110</v>
      </c>
      <c r="I113" t="s">
        <v>107</v>
      </c>
      <c r="J113" t="s">
        <v>146</v>
      </c>
      <c r="K113" t="s">
        <v>152</v>
      </c>
      <c r="L113" t="s">
        <v>150</v>
      </c>
    </row>
    <row r="114" spans="8:12" x14ac:dyDescent="0.35">
      <c r="H114">
        <f>IF(Table2[[#This Row],[Kelurahan]]="","",ROW(M111))</f>
        <v>111</v>
      </c>
      <c r="I114" t="s">
        <v>108</v>
      </c>
      <c r="J114" t="s">
        <v>146</v>
      </c>
      <c r="K114" t="s">
        <v>152</v>
      </c>
      <c r="L114" t="s">
        <v>150</v>
      </c>
    </row>
    <row r="115" spans="8:12" x14ac:dyDescent="0.35">
      <c r="H115">
        <f>IF(Table2[[#This Row],[Kelurahan]]="","",ROW(M112))</f>
        <v>112</v>
      </c>
      <c r="I115" t="s">
        <v>109</v>
      </c>
      <c r="J115" t="s">
        <v>109</v>
      </c>
      <c r="K115" t="s">
        <v>152</v>
      </c>
      <c r="L115" t="s">
        <v>150</v>
      </c>
    </row>
    <row r="116" spans="8:12" x14ac:dyDescent="0.35">
      <c r="H116">
        <f>IF(Table2[[#This Row],[Kelurahan]]="","",ROW(M113))</f>
        <v>113</v>
      </c>
      <c r="I116" t="s">
        <v>110</v>
      </c>
      <c r="J116" t="s">
        <v>109</v>
      </c>
      <c r="K116" t="s">
        <v>152</v>
      </c>
      <c r="L116" t="s">
        <v>150</v>
      </c>
    </row>
    <row r="117" spans="8:12" x14ac:dyDescent="0.35">
      <c r="H117">
        <f>IF(Table2[[#This Row],[Kelurahan]]="","",ROW(M114))</f>
        <v>114</v>
      </c>
      <c r="I117" t="s">
        <v>111</v>
      </c>
      <c r="J117" t="s">
        <v>109</v>
      </c>
      <c r="K117" t="s">
        <v>152</v>
      </c>
      <c r="L117" t="s">
        <v>150</v>
      </c>
    </row>
    <row r="118" spans="8:12" x14ac:dyDescent="0.35">
      <c r="H118">
        <f>IF(Table2[[#This Row],[Kelurahan]]="","",ROW(M115))</f>
        <v>115</v>
      </c>
      <c r="I118" t="s">
        <v>112</v>
      </c>
      <c r="J118" t="s">
        <v>109</v>
      </c>
      <c r="K118" t="s">
        <v>152</v>
      </c>
      <c r="L118" t="s">
        <v>150</v>
      </c>
    </row>
    <row r="119" spans="8:12" x14ac:dyDescent="0.35">
      <c r="H119">
        <f>IF(Table2[[#This Row],[Kelurahan]]="","",ROW(M116))</f>
        <v>116</v>
      </c>
      <c r="I119" t="s">
        <v>113</v>
      </c>
      <c r="J119" t="s">
        <v>147</v>
      </c>
      <c r="K119" t="s">
        <v>152</v>
      </c>
      <c r="L119" t="s">
        <v>150</v>
      </c>
    </row>
    <row r="120" spans="8:12" x14ac:dyDescent="0.35">
      <c r="H120">
        <f>IF(Table2[[#This Row],[Kelurahan]]="","",ROW(M117))</f>
        <v>117</v>
      </c>
      <c r="I120" t="s">
        <v>114</v>
      </c>
      <c r="J120" t="s">
        <v>147</v>
      </c>
      <c r="K120" t="s">
        <v>152</v>
      </c>
      <c r="L120" t="s">
        <v>150</v>
      </c>
    </row>
    <row r="121" spans="8:12" x14ac:dyDescent="0.35">
      <c r="H121">
        <f>IF(Table2[[#This Row],[Kelurahan]]="","",ROW(M118))</f>
        <v>118</v>
      </c>
      <c r="I121" t="s">
        <v>115</v>
      </c>
      <c r="J121" t="s">
        <v>147</v>
      </c>
      <c r="K121" t="s">
        <v>152</v>
      </c>
      <c r="L121" t="s">
        <v>150</v>
      </c>
    </row>
    <row r="122" spans="8:12" x14ac:dyDescent="0.35">
      <c r="H122">
        <f>IF(Table2[[#This Row],[Kelurahan]]="","",ROW(M119))</f>
        <v>119</v>
      </c>
      <c r="I122" t="s">
        <v>116</v>
      </c>
      <c r="J122" t="s">
        <v>147</v>
      </c>
      <c r="K122" t="s">
        <v>152</v>
      </c>
      <c r="L122" t="s">
        <v>150</v>
      </c>
    </row>
    <row r="123" spans="8:12" x14ac:dyDescent="0.35">
      <c r="H123">
        <f>IF(Table2[[#This Row],[Kelurahan]]="","",ROW(M120))</f>
        <v>120</v>
      </c>
      <c r="I123" t="s">
        <v>117</v>
      </c>
      <c r="J123" t="s">
        <v>147</v>
      </c>
      <c r="K123" t="s">
        <v>152</v>
      </c>
      <c r="L123" t="s">
        <v>150</v>
      </c>
    </row>
    <row r="124" spans="8:12" x14ac:dyDescent="0.35">
      <c r="H124">
        <f>IF(Table2[[#This Row],[Kelurahan]]="","",ROW(M121))</f>
        <v>121</v>
      </c>
      <c r="I124" t="s">
        <v>118</v>
      </c>
      <c r="J124" t="s">
        <v>148</v>
      </c>
      <c r="K124" t="s">
        <v>152</v>
      </c>
      <c r="L124" t="s">
        <v>150</v>
      </c>
    </row>
    <row r="125" spans="8:12" x14ac:dyDescent="0.35">
      <c r="H125">
        <f>IF(Table2[[#This Row],[Kelurahan]]="","",ROW(M122))</f>
        <v>122</v>
      </c>
      <c r="I125" t="s">
        <v>119</v>
      </c>
      <c r="J125" t="s">
        <v>148</v>
      </c>
      <c r="K125" t="s">
        <v>152</v>
      </c>
      <c r="L125" t="s">
        <v>150</v>
      </c>
    </row>
    <row r="126" spans="8:12" x14ac:dyDescent="0.35">
      <c r="H126">
        <f>IF(Table2[[#This Row],[Kelurahan]]="","",ROW(M123))</f>
        <v>123</v>
      </c>
      <c r="I126" t="s">
        <v>120</v>
      </c>
      <c r="J126" t="s">
        <v>148</v>
      </c>
      <c r="K126" t="s">
        <v>152</v>
      </c>
      <c r="L126" t="s">
        <v>150</v>
      </c>
    </row>
    <row r="127" spans="8:12" x14ac:dyDescent="0.35">
      <c r="H127">
        <f>IF(Table2[[#This Row],[Kelurahan]]="","",ROW(M124))</f>
        <v>124</v>
      </c>
      <c r="I127" t="s">
        <v>121</v>
      </c>
      <c r="J127" t="s">
        <v>148</v>
      </c>
      <c r="K127" t="s">
        <v>152</v>
      </c>
      <c r="L127" t="s">
        <v>150</v>
      </c>
    </row>
    <row r="128" spans="8:12" x14ac:dyDescent="0.35">
      <c r="H128">
        <f>IF(Table2[[#This Row],[Kelurahan]]="","",ROW(M125))</f>
        <v>125</v>
      </c>
      <c r="I128" t="s">
        <v>122</v>
      </c>
      <c r="J128" t="s">
        <v>148</v>
      </c>
      <c r="K128" t="s">
        <v>152</v>
      </c>
      <c r="L128" t="s">
        <v>150</v>
      </c>
    </row>
    <row r="129" spans="8:12" x14ac:dyDescent="0.35">
      <c r="H129">
        <f>IF(Table2[[#This Row],[Kelurahan]]="","",ROW(M126))</f>
        <v>126</v>
      </c>
      <c r="I129" t="s">
        <v>123</v>
      </c>
      <c r="J129" t="s">
        <v>148</v>
      </c>
      <c r="K129" t="s">
        <v>152</v>
      </c>
      <c r="L129" t="s">
        <v>150</v>
      </c>
    </row>
    <row r="130" spans="8:12" x14ac:dyDescent="0.35">
      <c r="H130">
        <f>IF(Table2[[#This Row],[Kelurahan]]="","",ROW(M127))</f>
        <v>127</v>
      </c>
      <c r="I130" t="s">
        <v>124</v>
      </c>
      <c r="J130" t="s">
        <v>148</v>
      </c>
      <c r="K130" t="s">
        <v>152</v>
      </c>
      <c r="L130" t="s">
        <v>150</v>
      </c>
    </row>
    <row r="131" spans="8:12" x14ac:dyDescent="0.35">
      <c r="H131">
        <f>IF(Table2[[#This Row],[Kelurahan]]="","",ROW(M128))</f>
        <v>128</v>
      </c>
      <c r="I131" t="s">
        <v>125</v>
      </c>
      <c r="J131" t="s">
        <v>149</v>
      </c>
      <c r="K131" t="s">
        <v>152</v>
      </c>
      <c r="L131" t="s">
        <v>150</v>
      </c>
    </row>
    <row r="132" spans="8:12" x14ac:dyDescent="0.35">
      <c r="H132">
        <f>IF(Table2[[#This Row],[Kelurahan]]="","",ROW(M129))</f>
        <v>129</v>
      </c>
      <c r="I132" t="s">
        <v>126</v>
      </c>
      <c r="J132" t="s">
        <v>149</v>
      </c>
      <c r="K132" t="s">
        <v>152</v>
      </c>
      <c r="L132" t="s">
        <v>150</v>
      </c>
    </row>
    <row r="133" spans="8:12" x14ac:dyDescent="0.35">
      <c r="H133">
        <f>IF(Table2[[#This Row],[Kelurahan]]="","",ROW(M130))</f>
        <v>130</v>
      </c>
      <c r="I133" t="s">
        <v>127</v>
      </c>
      <c r="J133" t="s">
        <v>149</v>
      </c>
      <c r="K133" t="s">
        <v>152</v>
      </c>
      <c r="L133" t="s">
        <v>150</v>
      </c>
    </row>
    <row r="134" spans="8:12" x14ac:dyDescent="0.35">
      <c r="H134">
        <f>IF(Table2[[#This Row],[Kelurahan]]="","",ROW(M131))</f>
        <v>131</v>
      </c>
      <c r="I134" t="s">
        <v>128</v>
      </c>
      <c r="J134" t="s">
        <v>149</v>
      </c>
      <c r="K134" t="s">
        <v>152</v>
      </c>
      <c r="L134" t="s">
        <v>150</v>
      </c>
    </row>
    <row r="135" spans="8:12" x14ac:dyDescent="0.35">
      <c r="H135">
        <f>IF(Table2[[#This Row],[Kelurahan]]="","",ROW(M132))</f>
        <v>132</v>
      </c>
      <c r="I135" t="s">
        <v>129</v>
      </c>
      <c r="J135" t="s">
        <v>132</v>
      </c>
      <c r="K135" t="s">
        <v>152</v>
      </c>
      <c r="L135" t="s">
        <v>150</v>
      </c>
    </row>
    <row r="136" spans="8:12" x14ac:dyDescent="0.35">
      <c r="H136">
        <f>IF(Table2[[#This Row],[Kelurahan]]="","",ROW(M133))</f>
        <v>133</v>
      </c>
      <c r="I136" t="s">
        <v>130</v>
      </c>
      <c r="J136" t="s">
        <v>132</v>
      </c>
      <c r="K136" t="s">
        <v>152</v>
      </c>
      <c r="L136" t="s">
        <v>150</v>
      </c>
    </row>
    <row r="137" spans="8:12" x14ac:dyDescent="0.35">
      <c r="H137">
        <f>IF(Table2[[#This Row],[Kelurahan]]="","",ROW(M134))</f>
        <v>134</v>
      </c>
      <c r="I137" t="s">
        <v>131</v>
      </c>
      <c r="J137" t="s">
        <v>132</v>
      </c>
      <c r="K137" t="s">
        <v>152</v>
      </c>
      <c r="L137" t="s">
        <v>150</v>
      </c>
    </row>
    <row r="138" spans="8:12" x14ac:dyDescent="0.35">
      <c r="H138">
        <f>IF(Table2[[#This Row],[Kelurahan]]="","",ROW(M135))</f>
        <v>135</v>
      </c>
      <c r="I138" t="s">
        <v>132</v>
      </c>
      <c r="J138" t="s">
        <v>132</v>
      </c>
      <c r="K138" t="s">
        <v>152</v>
      </c>
      <c r="L138" t="s">
        <v>150</v>
      </c>
    </row>
    <row r="139" spans="8:12" x14ac:dyDescent="0.35">
      <c r="H139">
        <f>IF(Table2[[#This Row],[Kelurahan]]="","",ROW(M136))</f>
        <v>136</v>
      </c>
      <c r="I139" t="s">
        <v>133</v>
      </c>
      <c r="J139" t="s">
        <v>132</v>
      </c>
      <c r="K139" t="s">
        <v>152</v>
      </c>
      <c r="L139" t="s">
        <v>150</v>
      </c>
    </row>
    <row r="140" spans="8:12" x14ac:dyDescent="0.35">
      <c r="H140">
        <f>IF(Table2[[#This Row],[Kelurahan]]="","",ROW(M137))</f>
        <v>137</v>
      </c>
      <c r="I140" t="s">
        <v>134</v>
      </c>
      <c r="J140" t="s">
        <v>132</v>
      </c>
      <c r="K140" t="s">
        <v>152</v>
      </c>
      <c r="L140" t="s">
        <v>150</v>
      </c>
    </row>
    <row r="141" spans="8:12" x14ac:dyDescent="0.35">
      <c r="H141">
        <f>IF(Table2[[#This Row],[Kelurahan]]="","",ROW(M138))</f>
        <v>138</v>
      </c>
      <c r="I141" t="s">
        <v>135</v>
      </c>
      <c r="J141" t="s">
        <v>132</v>
      </c>
      <c r="K141" t="s">
        <v>152</v>
      </c>
      <c r="L141" t="s">
        <v>150</v>
      </c>
    </row>
    <row r="142" spans="8:12" x14ac:dyDescent="0.35">
      <c r="H142">
        <f>IF(Table2[[#This Row],[Kelurahan]]="","",ROW(M139))</f>
        <v>139</v>
      </c>
      <c r="I142" t="s">
        <v>283</v>
      </c>
      <c r="J142" t="s">
        <v>284</v>
      </c>
      <c r="K142" t="s">
        <v>285</v>
      </c>
      <c r="L142" t="s">
        <v>272</v>
      </c>
    </row>
    <row r="143" spans="8:12" x14ac:dyDescent="0.35">
      <c r="H143">
        <f>IF(Table2[[#This Row],[Kelurahan]]="","",ROW(M140))</f>
        <v>140</v>
      </c>
      <c r="I143" t="s">
        <v>324</v>
      </c>
      <c r="J143" t="s">
        <v>323</v>
      </c>
      <c r="K143" t="s">
        <v>158</v>
      </c>
      <c r="L143" t="s">
        <v>150</v>
      </c>
    </row>
    <row r="144" spans="8:12" x14ac:dyDescent="0.35">
      <c r="H144">
        <f>IF(Table2[[#This Row],[Kelurahan]]="","",ROW(M141))</f>
        <v>141</v>
      </c>
      <c r="I144" t="s">
        <v>328</v>
      </c>
      <c r="J144" t="s">
        <v>288</v>
      </c>
      <c r="K144" t="s">
        <v>289</v>
      </c>
      <c r="L144" t="s">
        <v>290</v>
      </c>
    </row>
    <row r="145" spans="8:12" x14ac:dyDescent="0.35">
      <c r="H145">
        <f>IF(Table2[[#This Row],[Kelurahan]]="","",ROW(M142))</f>
        <v>142</v>
      </c>
      <c r="I145" t="s">
        <v>331</v>
      </c>
      <c r="J145" t="s">
        <v>288</v>
      </c>
      <c r="K145" t="s">
        <v>289</v>
      </c>
      <c r="L145" t="s">
        <v>290</v>
      </c>
    </row>
    <row r="146" spans="8:12" x14ac:dyDescent="0.35">
      <c r="H146">
        <f>IF(Table2[[#This Row],[Kelurahan]]="","",ROW(M143))</f>
        <v>143</v>
      </c>
      <c r="I146" t="s">
        <v>334</v>
      </c>
      <c r="J146" t="s">
        <v>288</v>
      </c>
      <c r="K146" t="s">
        <v>289</v>
      </c>
      <c r="L146" t="s">
        <v>290</v>
      </c>
    </row>
    <row r="147" spans="8:12" x14ac:dyDescent="0.35">
      <c r="H147">
        <f>IF(Table2[[#This Row],[Kelurahan]]="","",ROW(M144))</f>
        <v>144</v>
      </c>
      <c r="I147" t="s">
        <v>336</v>
      </c>
      <c r="J147" t="s">
        <v>299</v>
      </c>
      <c r="K147" t="s">
        <v>289</v>
      </c>
      <c r="L147" t="s">
        <v>290</v>
      </c>
    </row>
    <row r="148" spans="8:12" x14ac:dyDescent="0.35">
      <c r="H148">
        <f>IF(Table2[[#This Row],[Kelurahan]]="","",ROW(M145))</f>
        <v>145</v>
      </c>
      <c r="I148" t="s">
        <v>337</v>
      </c>
      <c r="J148" t="s">
        <v>288</v>
      </c>
      <c r="K148" t="s">
        <v>289</v>
      </c>
      <c r="L148" t="s">
        <v>290</v>
      </c>
    </row>
    <row r="149" spans="8:12" x14ac:dyDescent="0.35">
      <c r="H149">
        <f>IF(Table2[[#This Row],[Kelurahan]]="","",ROW(M146))</f>
        <v>146</v>
      </c>
      <c r="I149" t="s">
        <v>339</v>
      </c>
      <c r="J149" t="s">
        <v>299</v>
      </c>
      <c r="K149" t="s">
        <v>289</v>
      </c>
      <c r="L149" t="s">
        <v>290</v>
      </c>
    </row>
    <row r="150" spans="8:12" x14ac:dyDescent="0.35">
      <c r="H150">
        <f>IF(Table2[[#This Row],[Kelurahan]]="","",ROW(M147))</f>
        <v>147</v>
      </c>
      <c r="I150" t="s">
        <v>341</v>
      </c>
      <c r="J150" t="s">
        <v>314</v>
      </c>
      <c r="K150" t="s">
        <v>289</v>
      </c>
      <c r="L150" t="s">
        <v>290</v>
      </c>
    </row>
    <row r="151" spans="8:12" x14ac:dyDescent="0.35">
      <c r="H151">
        <f>IF(Table2[[#This Row],[Kelurahan]]="","",ROW(M148))</f>
        <v>148</v>
      </c>
      <c r="I151" t="s">
        <v>342</v>
      </c>
      <c r="J151" t="s">
        <v>343</v>
      </c>
      <c r="K151" t="s">
        <v>289</v>
      </c>
      <c r="L151" t="s">
        <v>290</v>
      </c>
    </row>
    <row r="152" spans="8:12" x14ac:dyDescent="0.35">
      <c r="H152">
        <f>IF(Table2[[#This Row],[Kelurahan]]="","",ROW(M149))</f>
        <v>149</v>
      </c>
      <c r="I152" t="s">
        <v>344</v>
      </c>
      <c r="J152" t="s">
        <v>288</v>
      </c>
      <c r="K152" t="s">
        <v>289</v>
      </c>
      <c r="L152" t="s">
        <v>290</v>
      </c>
    </row>
    <row r="153" spans="8:12" x14ac:dyDescent="0.35">
      <c r="H153">
        <f>IF(Table2[[#This Row],[Kelurahan]]="","",ROW(M150))</f>
        <v>150</v>
      </c>
      <c r="I153" t="s">
        <v>406</v>
      </c>
      <c r="J153" t="s">
        <v>407</v>
      </c>
      <c r="K153" t="s">
        <v>289</v>
      </c>
      <c r="L153" t="s">
        <v>290</v>
      </c>
    </row>
    <row r="154" spans="8:12" x14ac:dyDescent="0.35">
      <c r="H154">
        <f>IF(Table2[[#This Row],[Kelurahan]]="","",ROW(M151))</f>
        <v>151</v>
      </c>
      <c r="I154" t="s">
        <v>417</v>
      </c>
      <c r="J154" t="s">
        <v>299</v>
      </c>
      <c r="K154" t="s">
        <v>289</v>
      </c>
      <c r="L154" t="s">
        <v>290</v>
      </c>
    </row>
    <row r="155" spans="8:12" x14ac:dyDescent="0.35">
      <c r="H155">
        <f>IF(Table2[[#This Row],[Kelurahan]]="","",ROW(M152))</f>
        <v>152</v>
      </c>
      <c r="I155" t="s">
        <v>424</v>
      </c>
      <c r="J155" t="s">
        <v>425</v>
      </c>
      <c r="K155" t="s">
        <v>289</v>
      </c>
      <c r="L155" t="s">
        <v>290</v>
      </c>
    </row>
    <row r="156" spans="8:12" x14ac:dyDescent="0.35">
      <c r="H156">
        <f>IF(Table2[[#This Row],[Kelurahan]]="","",ROW(M153))</f>
        <v>153</v>
      </c>
      <c r="I156" t="s">
        <v>426</v>
      </c>
      <c r="J156" t="s">
        <v>299</v>
      </c>
      <c r="K156" t="s">
        <v>289</v>
      </c>
      <c r="L156" t="s">
        <v>290</v>
      </c>
    </row>
    <row r="157" spans="8:12" x14ac:dyDescent="0.35">
      <c r="H157">
        <f>IF(Table2[[#This Row],[Kelurahan]]="","",ROW(M154))</f>
        <v>154</v>
      </c>
      <c r="I157" t="s">
        <v>430</v>
      </c>
      <c r="J157" t="s">
        <v>317</v>
      </c>
      <c r="K157" t="s">
        <v>289</v>
      </c>
      <c r="L157" t="s">
        <v>290</v>
      </c>
    </row>
    <row r="158" spans="8:12" x14ac:dyDescent="0.35">
      <c r="H158">
        <f>IF(Table2[[#This Row],[Kelurahan]]="","",ROW(M155))</f>
        <v>155</v>
      </c>
      <c r="I158" t="s">
        <v>443</v>
      </c>
      <c r="J158" t="s">
        <v>444</v>
      </c>
      <c r="K158" t="s">
        <v>445</v>
      </c>
      <c r="L158" t="s">
        <v>290</v>
      </c>
    </row>
    <row r="159" spans="8:12" x14ac:dyDescent="0.35">
      <c r="H159">
        <f>IF(Table2[[#This Row],[Kelurahan]]="","",ROW(M156))</f>
        <v>156</v>
      </c>
      <c r="I159" t="s">
        <v>446</v>
      </c>
      <c r="J159" t="s">
        <v>444</v>
      </c>
      <c r="K159" t="s">
        <v>445</v>
      </c>
      <c r="L159" t="s">
        <v>290</v>
      </c>
    </row>
    <row r="160" spans="8:12" x14ac:dyDescent="0.35">
      <c r="H160">
        <f>IF(Table2[[#This Row],[Kelurahan]]="","",ROW(M157))</f>
        <v>157</v>
      </c>
      <c r="I160" t="s">
        <v>456</v>
      </c>
      <c r="J160" t="s">
        <v>407</v>
      </c>
      <c r="K160" t="s">
        <v>289</v>
      </c>
      <c r="L160" t="s">
        <v>290</v>
      </c>
    </row>
    <row r="161" spans="8:12" x14ac:dyDescent="0.35">
      <c r="H161">
        <f>IF(Table2[[#This Row],[Kelurahan]]="","",ROW(M158))</f>
        <v>158</v>
      </c>
      <c r="I161" t="s">
        <v>474</v>
      </c>
      <c r="J161" t="s">
        <v>475</v>
      </c>
      <c r="K161" t="s">
        <v>289</v>
      </c>
      <c r="L161" t="s">
        <v>290</v>
      </c>
    </row>
    <row r="162" spans="8:12" x14ac:dyDescent="0.35">
      <c r="H162">
        <f>IF(Table2[[#This Row],[Kelurahan]]="","",ROW(M159))</f>
        <v>159</v>
      </c>
      <c r="I162" t="s">
        <v>478</v>
      </c>
      <c r="J162" t="s">
        <v>299</v>
      </c>
      <c r="K162" t="s">
        <v>289</v>
      </c>
      <c r="L162" t="s">
        <v>290</v>
      </c>
    </row>
    <row r="163" spans="8:12" x14ac:dyDescent="0.35">
      <c r="H163">
        <f>IF(Table2[[#This Row],[Kelurahan]]="","",ROW(M160))</f>
        <v>160</v>
      </c>
      <c r="I163" t="s">
        <v>483</v>
      </c>
      <c r="J163" t="s">
        <v>317</v>
      </c>
      <c r="K163" t="s">
        <v>289</v>
      </c>
      <c r="L163" t="s">
        <v>290</v>
      </c>
    </row>
    <row r="164" spans="8:12" x14ac:dyDescent="0.35">
      <c r="H164">
        <f>IF(Table2[[#This Row],[Kelurahan]]="","",ROW(M161))</f>
        <v>161</v>
      </c>
      <c r="I164" t="s">
        <v>484</v>
      </c>
      <c r="J164" t="s">
        <v>299</v>
      </c>
      <c r="K164" t="s">
        <v>289</v>
      </c>
      <c r="L164" t="s">
        <v>290</v>
      </c>
    </row>
    <row r="165" spans="8:12" x14ac:dyDescent="0.35">
      <c r="H165">
        <f>IF(Table2[[#This Row],[Kelurahan]]="","",ROW(M162))</f>
        <v>162</v>
      </c>
      <c r="I165" t="s">
        <v>510</v>
      </c>
      <c r="J165" t="s">
        <v>511</v>
      </c>
      <c r="K165" t="s">
        <v>289</v>
      </c>
      <c r="L165" t="s">
        <v>290</v>
      </c>
    </row>
    <row r="166" spans="8:12" x14ac:dyDescent="0.35">
      <c r="H166">
        <f>IF(Table2[[#This Row],[Kelurahan]]="","",ROW(M163))</f>
        <v>163</v>
      </c>
      <c r="I166" t="s">
        <v>514</v>
      </c>
      <c r="J166" t="s">
        <v>425</v>
      </c>
      <c r="K166" t="s">
        <v>289</v>
      </c>
      <c r="L166" t="s">
        <v>290</v>
      </c>
    </row>
    <row r="167" spans="8:12" x14ac:dyDescent="0.35">
      <c r="H167">
        <f>IF(Table2[[#This Row],[Kelurahan]]="","",ROW(M164))</f>
        <v>164</v>
      </c>
      <c r="I167" t="s">
        <v>573</v>
      </c>
      <c r="J167" t="s">
        <v>407</v>
      </c>
      <c r="K167" t="s">
        <v>289</v>
      </c>
      <c r="L167" t="s">
        <v>290</v>
      </c>
    </row>
    <row r="168" spans="8:12" x14ac:dyDescent="0.35">
      <c r="H168">
        <f>IF(Table2[[#This Row],[Kelurahan]]="","",ROW(M165))</f>
        <v>165</v>
      </c>
      <c r="I168" t="s">
        <v>576</v>
      </c>
      <c r="J168" t="s">
        <v>475</v>
      </c>
      <c r="K168" t="s">
        <v>289</v>
      </c>
      <c r="L168" t="s">
        <v>290</v>
      </c>
    </row>
    <row r="169" spans="8:12" x14ac:dyDescent="0.35">
      <c r="H169">
        <f>IF(Table2[[#This Row],[Kelurahan]]="","",ROW(M166))</f>
        <v>166</v>
      </c>
      <c r="I169" t="s">
        <v>601</v>
      </c>
      <c r="J169" t="s">
        <v>602</v>
      </c>
      <c r="K169" t="s">
        <v>296</v>
      </c>
      <c r="L169" t="s">
        <v>290</v>
      </c>
    </row>
  </sheetData>
  <phoneticPr fontId="6" type="noConversion"/>
  <dataValidations count="1">
    <dataValidation type="list" allowBlank="1" showInputMessage="1" showErrorMessage="1" sqref="D4:D71" xr:uid="{1984A5CA-F43B-4298-9AFA-C61006EBE159}">
      <formula1>t_kategori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29E606-9A84-4979-9542-C8820446B1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Quick Recap</vt:lpstr>
      <vt:lpstr>Main Recap</vt:lpstr>
      <vt:lpstr>Rekap Bencana</vt:lpstr>
      <vt:lpstr>Sebaran Dampak</vt:lpstr>
      <vt:lpstr>Kategori Program</vt:lpstr>
      <vt:lpstr>t_kab</vt:lpstr>
      <vt:lpstr>t_kategori</vt:lpstr>
      <vt:lpstr>t_kategoriP</vt:lpstr>
      <vt:lpstr>t_kec</vt:lpstr>
      <vt:lpstr>t_kel</vt:lpstr>
      <vt:lpstr>T_KetProgram</vt:lpstr>
      <vt:lpstr>t_nm</vt:lpstr>
      <vt:lpstr>t_prov</vt:lpstr>
      <vt:lpstr>T_SPM</vt:lpstr>
      <vt:lpstr>T_SPMFIX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Shinichi Lawliet</dc:creator>
  <cp:lastModifiedBy>Shinichi Lawliet</cp:lastModifiedBy>
  <dcterms:created xsi:type="dcterms:W3CDTF">2025-08-02T08:29:45Z</dcterms:created>
  <dcterms:modified xsi:type="dcterms:W3CDTF">2026-02-12T03:06:59Z</dcterms:modified>
</cp:coreProperties>
</file>